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eon\Desktop\"/>
    </mc:Choice>
  </mc:AlternateContent>
  <xr:revisionPtr revIDLastSave="0" documentId="13_ncr:1_{BB154A9E-F555-460D-9731-35A62BA28F0F}" xr6:coauthVersionLast="45" xr6:coauthVersionMax="45" xr10:uidLastSave="{00000000-0000-0000-0000-000000000000}"/>
  <bookViews>
    <workbookView xWindow="-120" yWindow="-120" windowWidth="29040" windowHeight="15525" tabRatio="762" xr2:uid="{00000000-000D-0000-FFFF-FFFF00000000}"/>
  </bookViews>
  <sheets>
    <sheet name="やり過ぎ君" sheetId="1" r:id="rId1"/>
    <sheet name="詳細" sheetId="26" r:id="rId2"/>
    <sheet name="時間帯別" sheetId="20" r:id="rId3"/>
    <sheet name="IDデータ" sheetId="8" r:id="rId4"/>
    <sheet name="原紙" sheetId="19" r:id="rId5"/>
    <sheet name="やり過ぎ君 使用方法" sheetId="6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6" i="1" l="1"/>
  <c r="F36" i="1"/>
  <c r="E36" i="1"/>
  <c r="D36" i="1"/>
  <c r="E12" i="26" l="1"/>
  <c r="E10" i="26"/>
  <c r="M7" i="1"/>
  <c r="L4" i="20" l="1"/>
  <c r="L5" i="20"/>
  <c r="M5" i="20"/>
  <c r="N5" i="20"/>
  <c r="O5" i="20"/>
  <c r="P5" i="20"/>
  <c r="Q5" i="20"/>
  <c r="R5" i="20"/>
  <c r="S5" i="20"/>
  <c r="T5" i="20"/>
  <c r="U5" i="20"/>
  <c r="L6" i="20"/>
  <c r="M6" i="20"/>
  <c r="N6" i="20"/>
  <c r="O6" i="20"/>
  <c r="P6" i="20"/>
  <c r="Q6" i="20"/>
  <c r="R6" i="20"/>
  <c r="S6" i="20"/>
  <c r="T6" i="20"/>
  <c r="U6" i="20"/>
  <c r="L7" i="20"/>
  <c r="M7" i="20"/>
  <c r="N7" i="20"/>
  <c r="O7" i="20"/>
  <c r="P7" i="20"/>
  <c r="Q7" i="20"/>
  <c r="R7" i="20"/>
  <c r="S7" i="20"/>
  <c r="T7" i="20"/>
  <c r="U7" i="20"/>
  <c r="L8" i="20"/>
  <c r="M8" i="20"/>
  <c r="N8" i="20"/>
  <c r="O8" i="20"/>
  <c r="P8" i="20"/>
  <c r="Q8" i="20"/>
  <c r="R8" i="20"/>
  <c r="S8" i="20"/>
  <c r="T8" i="20"/>
  <c r="U8" i="20"/>
  <c r="L9" i="20"/>
  <c r="M9" i="20"/>
  <c r="N9" i="20"/>
  <c r="O9" i="20"/>
  <c r="P9" i="20"/>
  <c r="Q9" i="20"/>
  <c r="R9" i="20"/>
  <c r="S9" i="20"/>
  <c r="T9" i="20"/>
  <c r="U9" i="20"/>
  <c r="L10" i="20"/>
  <c r="M10" i="20"/>
  <c r="N10" i="20"/>
  <c r="O10" i="20"/>
  <c r="P10" i="20"/>
  <c r="Q10" i="20"/>
  <c r="R10" i="20"/>
  <c r="S10" i="20"/>
  <c r="T10" i="20"/>
  <c r="U10" i="20"/>
  <c r="L11" i="20"/>
  <c r="M11" i="20"/>
  <c r="N11" i="20"/>
  <c r="O11" i="20"/>
  <c r="P11" i="20"/>
  <c r="Q11" i="20"/>
  <c r="R11" i="20"/>
  <c r="S11" i="20"/>
  <c r="T11" i="20"/>
  <c r="U11" i="20"/>
  <c r="L12" i="20"/>
  <c r="M12" i="20"/>
  <c r="N12" i="20"/>
  <c r="O12" i="20"/>
  <c r="P12" i="20"/>
  <c r="Q12" i="20"/>
  <c r="R12" i="20"/>
  <c r="S12" i="20"/>
  <c r="T12" i="20"/>
  <c r="U12" i="20"/>
  <c r="L13" i="20"/>
  <c r="M13" i="20"/>
  <c r="N13" i="20"/>
  <c r="O13" i="20"/>
  <c r="P13" i="20"/>
  <c r="Q13" i="20"/>
  <c r="R13" i="20"/>
  <c r="S13" i="20"/>
  <c r="T13" i="20"/>
  <c r="U13" i="20"/>
  <c r="L14" i="20"/>
  <c r="M14" i="20"/>
  <c r="N14" i="20"/>
  <c r="O14" i="20"/>
  <c r="P14" i="20"/>
  <c r="Q14" i="20"/>
  <c r="R14" i="20"/>
  <c r="S14" i="20"/>
  <c r="T14" i="20"/>
  <c r="U14" i="20"/>
  <c r="L15" i="20"/>
  <c r="M15" i="20"/>
  <c r="N15" i="20"/>
  <c r="O15" i="20"/>
  <c r="P15" i="20"/>
  <c r="Q15" i="20"/>
  <c r="R15" i="20"/>
  <c r="S15" i="20"/>
  <c r="T15" i="20"/>
  <c r="U15" i="20"/>
  <c r="L16" i="20"/>
  <c r="M16" i="20"/>
  <c r="N16" i="20"/>
  <c r="O16" i="20"/>
  <c r="P16" i="20"/>
  <c r="Q16" i="20"/>
  <c r="R16" i="20"/>
  <c r="S16" i="20"/>
  <c r="T16" i="20"/>
  <c r="U16" i="20"/>
  <c r="L17" i="20"/>
  <c r="M17" i="20"/>
  <c r="N17" i="20"/>
  <c r="O17" i="20"/>
  <c r="P17" i="20"/>
  <c r="Q17" i="20"/>
  <c r="R17" i="20"/>
  <c r="S17" i="20"/>
  <c r="T17" i="20"/>
  <c r="U17" i="20"/>
  <c r="L18" i="20"/>
  <c r="M18" i="20"/>
  <c r="N18" i="20"/>
  <c r="O18" i="20"/>
  <c r="P18" i="20"/>
  <c r="Q18" i="20"/>
  <c r="R18" i="20"/>
  <c r="S18" i="20"/>
  <c r="T18" i="20"/>
  <c r="U18" i="20"/>
  <c r="L19" i="20"/>
  <c r="M19" i="20"/>
  <c r="N19" i="20"/>
  <c r="O19" i="20"/>
  <c r="P19" i="20"/>
  <c r="Q19" i="20"/>
  <c r="R19" i="20"/>
  <c r="S19" i="20"/>
  <c r="T19" i="20"/>
  <c r="U19" i="20"/>
  <c r="L20" i="20"/>
  <c r="M20" i="20"/>
  <c r="N20" i="20"/>
  <c r="O20" i="20"/>
  <c r="P20" i="20"/>
  <c r="Q20" i="20"/>
  <c r="R20" i="20"/>
  <c r="S20" i="20"/>
  <c r="T20" i="20"/>
  <c r="U20" i="20"/>
  <c r="L21" i="20"/>
  <c r="M21" i="20"/>
  <c r="N21" i="20"/>
  <c r="O21" i="20"/>
  <c r="P21" i="20"/>
  <c r="Q21" i="20"/>
  <c r="R21" i="20"/>
  <c r="S21" i="20"/>
  <c r="T21" i="20"/>
  <c r="U21" i="20"/>
  <c r="L22" i="20"/>
  <c r="M22" i="20"/>
  <c r="N22" i="20"/>
  <c r="O22" i="20"/>
  <c r="P22" i="20"/>
  <c r="Q22" i="20"/>
  <c r="R22" i="20"/>
  <c r="S22" i="20"/>
  <c r="T22" i="20"/>
  <c r="U22" i="20"/>
  <c r="L23" i="20"/>
  <c r="M23" i="20"/>
  <c r="N23" i="20"/>
  <c r="O23" i="20"/>
  <c r="P23" i="20"/>
  <c r="Q23" i="20"/>
  <c r="R23" i="20"/>
  <c r="S23" i="20"/>
  <c r="T23" i="20"/>
  <c r="U23" i="20"/>
  <c r="L24" i="20"/>
  <c r="M24" i="20"/>
  <c r="N24" i="20"/>
  <c r="O24" i="20"/>
  <c r="P24" i="20"/>
  <c r="Q24" i="20"/>
  <c r="R24" i="20"/>
  <c r="S24" i="20"/>
  <c r="T24" i="20"/>
  <c r="U24" i="20"/>
  <c r="L25" i="20"/>
  <c r="M25" i="20"/>
  <c r="N25" i="20"/>
  <c r="O25" i="20"/>
  <c r="P25" i="20"/>
  <c r="Q25" i="20"/>
  <c r="R25" i="20"/>
  <c r="S25" i="20"/>
  <c r="T25" i="20"/>
  <c r="U25" i="20"/>
  <c r="L26" i="20"/>
  <c r="M26" i="20"/>
  <c r="N26" i="20"/>
  <c r="O26" i="20"/>
  <c r="P26" i="20"/>
  <c r="Q26" i="20"/>
  <c r="R26" i="20"/>
  <c r="S26" i="20"/>
  <c r="T26" i="20"/>
  <c r="U26" i="20"/>
  <c r="L27" i="20"/>
  <c r="M27" i="20"/>
  <c r="N27" i="20"/>
  <c r="O27" i="20"/>
  <c r="P27" i="20"/>
  <c r="Q27" i="20"/>
  <c r="R27" i="20"/>
  <c r="S27" i="20"/>
  <c r="T27" i="20"/>
  <c r="U27" i="20"/>
  <c r="L28" i="20"/>
  <c r="M28" i="20"/>
  <c r="N28" i="20"/>
  <c r="O28" i="20"/>
  <c r="P28" i="20"/>
  <c r="Q28" i="20"/>
  <c r="R28" i="20"/>
  <c r="S28" i="20"/>
  <c r="T28" i="20"/>
  <c r="U28" i="20"/>
  <c r="L29" i="20"/>
  <c r="M29" i="20"/>
  <c r="N29" i="20"/>
  <c r="O29" i="20"/>
  <c r="P29" i="20"/>
  <c r="Q29" i="20"/>
  <c r="R29" i="20"/>
  <c r="S29" i="20"/>
  <c r="T29" i="20"/>
  <c r="U29" i="20"/>
  <c r="U4" i="20"/>
  <c r="T4" i="20"/>
  <c r="S4" i="20"/>
  <c r="R4" i="20"/>
  <c r="Q4" i="20"/>
  <c r="P4" i="20"/>
  <c r="O4" i="20"/>
  <c r="N4" i="20"/>
  <c r="M4" i="20"/>
  <c r="I6" i="20"/>
  <c r="J6" i="20"/>
  <c r="K6" i="20"/>
  <c r="I7" i="20"/>
  <c r="J7" i="20"/>
  <c r="K7" i="20"/>
  <c r="I8" i="20"/>
  <c r="J8" i="20"/>
  <c r="K8" i="20"/>
  <c r="I9" i="20"/>
  <c r="J9" i="20"/>
  <c r="K9" i="20"/>
  <c r="I10" i="20"/>
  <c r="J10" i="20"/>
  <c r="K10" i="20"/>
  <c r="I11" i="20"/>
  <c r="J11" i="20"/>
  <c r="K11" i="20"/>
  <c r="I12" i="20"/>
  <c r="J12" i="20"/>
  <c r="K12" i="20"/>
  <c r="I13" i="20"/>
  <c r="J13" i="20"/>
  <c r="K13" i="20"/>
  <c r="I14" i="20"/>
  <c r="J14" i="20"/>
  <c r="K14" i="20"/>
  <c r="I15" i="20"/>
  <c r="J15" i="20"/>
  <c r="K15" i="20"/>
  <c r="I16" i="20"/>
  <c r="J16" i="20"/>
  <c r="K16" i="20"/>
  <c r="I17" i="20"/>
  <c r="J17" i="20"/>
  <c r="K17" i="20"/>
  <c r="I18" i="20"/>
  <c r="J18" i="20"/>
  <c r="K18" i="20"/>
  <c r="I19" i="20"/>
  <c r="J19" i="20"/>
  <c r="K19" i="20"/>
  <c r="I20" i="20"/>
  <c r="J20" i="20"/>
  <c r="K20" i="20"/>
  <c r="I21" i="20"/>
  <c r="J21" i="20"/>
  <c r="K21" i="20"/>
  <c r="I22" i="20"/>
  <c r="J22" i="20"/>
  <c r="K22" i="20"/>
  <c r="I23" i="20"/>
  <c r="J23" i="20"/>
  <c r="K23" i="20"/>
  <c r="I24" i="20"/>
  <c r="J24" i="20"/>
  <c r="K24" i="20"/>
  <c r="I25" i="20"/>
  <c r="J25" i="20"/>
  <c r="K25" i="20"/>
  <c r="I26" i="20"/>
  <c r="J26" i="20"/>
  <c r="K26" i="20"/>
  <c r="I27" i="20"/>
  <c r="J27" i="20"/>
  <c r="K27" i="20"/>
  <c r="I28" i="20"/>
  <c r="J28" i="20"/>
  <c r="K28" i="20"/>
  <c r="I29" i="20"/>
  <c r="J29" i="20"/>
  <c r="K29" i="20"/>
  <c r="I5" i="20"/>
  <c r="J5" i="20"/>
  <c r="K5" i="20"/>
  <c r="K4" i="20"/>
  <c r="J4" i="20"/>
  <c r="I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4" i="20"/>
  <c r="H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4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5" i="20"/>
  <c r="B6" i="20"/>
  <c r="B7" i="20"/>
  <c r="B8" i="20"/>
  <c r="B9" i="20"/>
  <c r="B10" i="20"/>
  <c r="B11" i="20"/>
  <c r="B12" i="20"/>
  <c r="B13" i="20"/>
  <c r="B4" i="20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25" i="1"/>
  <c r="D6" i="26" l="1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3" i="20" s="1"/>
  <c r="D25" i="26"/>
  <c r="D24" i="20" s="1"/>
  <c r="D26" i="26"/>
  <c r="D25" i="20" s="1"/>
  <c r="D27" i="26"/>
  <c r="D26" i="20" s="1"/>
  <c r="D28" i="26"/>
  <c r="D27" i="20" s="1"/>
  <c r="D29" i="26"/>
  <c r="D28" i="20" s="1"/>
  <c r="D30" i="26"/>
  <c r="D29" i="20" s="1"/>
  <c r="E6" i="26"/>
  <c r="E7" i="26"/>
  <c r="E8" i="26"/>
  <c r="E9" i="26"/>
  <c r="E11" i="26"/>
  <c r="E13" i="26"/>
  <c r="E14" i="26"/>
  <c r="E15" i="26"/>
  <c r="E16" i="26"/>
  <c r="E17" i="26"/>
  <c r="E18" i="26"/>
  <c r="E19" i="26"/>
  <c r="E20" i="26"/>
  <c r="E21" i="26"/>
  <c r="E22" i="26"/>
  <c r="E23" i="26"/>
  <c r="E24" i="26"/>
  <c r="E23" i="20" s="1"/>
  <c r="E25" i="26"/>
  <c r="E24" i="20" s="1"/>
  <c r="E26" i="26"/>
  <c r="E25" i="20" s="1"/>
  <c r="E27" i="26"/>
  <c r="E26" i="20" s="1"/>
  <c r="E28" i="26"/>
  <c r="E27" i="20" s="1"/>
  <c r="E29" i="26"/>
  <c r="E28" i="20" s="1"/>
  <c r="E30" i="26"/>
  <c r="E29" i="20" s="1"/>
  <c r="E5" i="26"/>
  <c r="D5" i="26"/>
  <c r="O40" i="1" l="1"/>
  <c r="E19" i="20"/>
  <c r="O36" i="1"/>
  <c r="E15" i="20"/>
  <c r="O32" i="1"/>
  <c r="E11" i="20"/>
  <c r="O28" i="1"/>
  <c r="E7" i="20"/>
  <c r="N41" i="1"/>
  <c r="D20" i="20"/>
  <c r="N37" i="1"/>
  <c r="D16" i="20"/>
  <c r="N33" i="1"/>
  <c r="D12" i="20"/>
  <c r="N29" i="1"/>
  <c r="D8" i="20"/>
  <c r="O31" i="1"/>
  <c r="E10" i="20"/>
  <c r="N40" i="1"/>
  <c r="D19" i="20"/>
  <c r="N36" i="1"/>
  <c r="D15" i="20"/>
  <c r="N32" i="1"/>
  <c r="D11" i="20"/>
  <c r="N28" i="1"/>
  <c r="D7" i="20"/>
  <c r="O43" i="1"/>
  <c r="E22" i="20"/>
  <c r="O42" i="1"/>
  <c r="E21" i="20"/>
  <c r="O34" i="1"/>
  <c r="E13" i="20"/>
  <c r="O26" i="1"/>
  <c r="E5" i="20"/>
  <c r="N43" i="1"/>
  <c r="D22" i="20"/>
  <c r="N27" i="1"/>
  <c r="D6" i="20"/>
  <c r="N25" i="1"/>
  <c r="D4" i="20"/>
  <c r="O25" i="1"/>
  <c r="E4" i="20"/>
  <c r="O39" i="1"/>
  <c r="E18" i="20"/>
  <c r="O35" i="1"/>
  <c r="E14" i="20"/>
  <c r="O27" i="1"/>
  <c r="E6" i="20"/>
  <c r="O38" i="1"/>
  <c r="E17" i="20"/>
  <c r="O30" i="1"/>
  <c r="E9" i="20"/>
  <c r="N39" i="1"/>
  <c r="D18" i="20"/>
  <c r="N35" i="1"/>
  <c r="D14" i="20"/>
  <c r="N31" i="1"/>
  <c r="D10" i="20"/>
  <c r="O41" i="1"/>
  <c r="E20" i="20"/>
  <c r="O37" i="1"/>
  <c r="E16" i="20"/>
  <c r="O33" i="1"/>
  <c r="E12" i="20"/>
  <c r="O29" i="1"/>
  <c r="E8" i="20"/>
  <c r="N42" i="1"/>
  <c r="D21" i="20"/>
  <c r="N38" i="1"/>
  <c r="D17" i="20"/>
  <c r="N34" i="1"/>
  <c r="D13" i="20"/>
  <c r="N30" i="1"/>
  <c r="D9" i="20"/>
  <c r="N26" i="1"/>
  <c r="D5" i="20"/>
  <c r="F32" i="26"/>
  <c r="G26" i="1" l="1"/>
  <c r="H26" i="1" s="1"/>
  <c r="G24" i="1"/>
  <c r="H24" i="1" s="1"/>
  <c r="G25" i="1"/>
  <c r="H25" i="1" s="1"/>
  <c r="G31" i="26"/>
  <c r="H31" i="26"/>
  <c r="I31" i="26"/>
  <c r="J31" i="26"/>
  <c r="K31" i="26"/>
  <c r="L31" i="26"/>
  <c r="M31" i="26"/>
  <c r="N31" i="26"/>
  <c r="O31" i="26"/>
  <c r="P31" i="26"/>
  <c r="Q31" i="26"/>
  <c r="R31" i="26"/>
  <c r="S31" i="26"/>
  <c r="T31" i="26"/>
  <c r="U31" i="26"/>
  <c r="V31" i="26"/>
  <c r="W31" i="26"/>
  <c r="X31" i="26"/>
  <c r="Y31" i="26"/>
  <c r="Z31" i="26"/>
  <c r="AA31" i="26"/>
  <c r="AB31" i="26"/>
  <c r="AC31" i="26"/>
  <c r="AD31" i="26"/>
  <c r="AE31" i="26"/>
  <c r="AF31" i="26"/>
  <c r="AG31" i="26"/>
  <c r="AH31" i="26"/>
  <c r="AI31" i="26"/>
  <c r="AJ31" i="26"/>
  <c r="AK31" i="26"/>
  <c r="AL31" i="26"/>
  <c r="AM31" i="26"/>
  <c r="AN31" i="26"/>
  <c r="AO31" i="26"/>
  <c r="AP31" i="26"/>
  <c r="AQ31" i="26"/>
  <c r="AR31" i="26"/>
  <c r="AS31" i="26"/>
  <c r="AT31" i="26"/>
  <c r="AU31" i="26"/>
  <c r="AV31" i="26"/>
  <c r="AW31" i="26"/>
  <c r="AX31" i="26"/>
  <c r="AY31" i="26"/>
  <c r="AZ31" i="26"/>
  <c r="BA31" i="26"/>
  <c r="BB31" i="26"/>
  <c r="BC31" i="26"/>
  <c r="BD31" i="26"/>
  <c r="BE31" i="26"/>
  <c r="BF31" i="26"/>
  <c r="BG31" i="26"/>
  <c r="BH31" i="26"/>
  <c r="BI31" i="26"/>
  <c r="BJ31" i="26"/>
  <c r="BK31" i="26"/>
  <c r="BL31" i="26"/>
  <c r="BM31" i="26"/>
  <c r="BN31" i="26"/>
  <c r="F31" i="26"/>
  <c r="F29" i="1" l="1"/>
  <c r="F20" i="1" s="1"/>
  <c r="D31" i="26"/>
  <c r="BK32" i="26"/>
  <c r="S32" i="26"/>
  <c r="BG32" i="26"/>
  <c r="BC32" i="26"/>
  <c r="AY32" i="26"/>
  <c r="AU32" i="26"/>
  <c r="AQ32" i="26"/>
  <c r="AM32" i="26"/>
  <c r="AI32" i="26"/>
  <c r="AE32" i="26"/>
  <c r="AA32" i="26"/>
  <c r="W32" i="26"/>
  <c r="O32" i="26"/>
  <c r="K32" i="26"/>
  <c r="G32" i="26"/>
  <c r="E31" i="26"/>
  <c r="P6" i="1" l="1"/>
  <c r="P5" i="1"/>
  <c r="F8" i="1"/>
  <c r="E8" i="1"/>
  <c r="D8" i="1"/>
  <c r="C8" i="1"/>
  <c r="N7" i="1"/>
  <c r="I7" i="1"/>
  <c r="G7" i="1"/>
  <c r="I6" i="1"/>
  <c r="G6" i="1"/>
  <c r="M8" i="1" l="1"/>
  <c r="M10" i="1"/>
  <c r="M9" i="1"/>
  <c r="G10" i="1"/>
  <c r="G9" i="1"/>
  <c r="G8" i="1"/>
  <c r="I8" i="1"/>
  <c r="H7" i="1"/>
  <c r="F13" i="1"/>
  <c r="G14" i="1"/>
  <c r="G13" i="1"/>
  <c r="J14" i="1"/>
  <c r="F14" i="1"/>
  <c r="J13" i="1"/>
  <c r="H29" i="1" s="1"/>
  <c r="P7" i="1"/>
  <c r="J7" i="1"/>
  <c r="J6" i="1"/>
  <c r="H6" i="1"/>
  <c r="G30" i="20" l="1"/>
  <c r="H30" i="20"/>
  <c r="I30" i="20"/>
  <c r="J30" i="20"/>
  <c r="K30" i="20"/>
  <c r="L30" i="20"/>
  <c r="M30" i="20"/>
  <c r="N30" i="20"/>
  <c r="O30" i="20"/>
  <c r="G20" i="1" s="1"/>
  <c r="P30" i="20"/>
  <c r="Q30" i="20"/>
  <c r="R30" i="20"/>
  <c r="S30" i="20"/>
  <c r="T30" i="20"/>
  <c r="U30" i="20"/>
  <c r="C1" i="1" l="1"/>
  <c r="L15" i="1" s="1"/>
  <c r="L20" i="1" l="1"/>
  <c r="L21" i="1"/>
  <c r="L18" i="1"/>
  <c r="L19" i="1"/>
  <c r="L16" i="1"/>
  <c r="L17" i="1"/>
  <c r="M15" i="1"/>
  <c r="P15" i="1" s="1"/>
  <c r="F30" i="20"/>
  <c r="G22" i="1" l="1"/>
  <c r="H22" i="1" s="1"/>
  <c r="G23" i="1"/>
  <c r="H23" i="1" s="1"/>
  <c r="G21" i="1"/>
  <c r="N15" i="1"/>
  <c r="Q15" i="1" s="1"/>
  <c r="M16" i="1"/>
  <c r="P16" i="1" s="1"/>
  <c r="N16" i="1"/>
  <c r="Q16" i="1" s="1"/>
  <c r="M20" i="1"/>
  <c r="P20" i="1" s="1"/>
  <c r="N20" i="1"/>
  <c r="Q20" i="1" s="1"/>
  <c r="N21" i="1"/>
  <c r="Q21" i="1" s="1"/>
  <c r="M21" i="1"/>
  <c r="P21" i="1" s="1"/>
  <c r="N19" i="1"/>
  <c r="Q19" i="1" s="1"/>
  <c r="M19" i="1"/>
  <c r="P19" i="1" s="1"/>
  <c r="M17" i="1"/>
  <c r="P17" i="1" s="1"/>
  <c r="N17" i="1"/>
  <c r="Q17" i="1" s="1"/>
  <c r="N18" i="1"/>
  <c r="Q18" i="1" s="1"/>
  <c r="M18" i="1"/>
  <c r="P18" i="1" s="1"/>
  <c r="D30" i="20"/>
  <c r="E30" i="20"/>
  <c r="G29" i="1" l="1"/>
  <c r="F7" i="19"/>
  <c r="E7" i="19"/>
  <c r="D7" i="19"/>
  <c r="C7" i="19"/>
  <c r="N6" i="19"/>
  <c r="M6" i="19"/>
  <c r="I6" i="19"/>
  <c r="G6" i="19"/>
  <c r="I5" i="19"/>
  <c r="G5" i="19"/>
  <c r="J6" i="19" l="1"/>
  <c r="G7" i="19"/>
  <c r="I7" i="19"/>
  <c r="H5" i="19"/>
  <c r="H6" i="19"/>
  <c r="M7" i="19"/>
  <c r="J5" i="19"/>
  <c r="O44" i="1" l="1"/>
  <c r="N44" i="1"/>
  <c r="N45" i="1" l="1"/>
  <c r="H21" i="1"/>
  <c r="H20" i="1"/>
</calcChain>
</file>

<file path=xl/sharedStrings.xml><?xml version="1.0" encoding="utf-8"?>
<sst xmlns="http://schemas.openxmlformats.org/spreadsheetml/2006/main" count="336" uniqueCount="189">
  <si>
    <t>合計</t>
    <rPh sb="0" eb="2">
      <t>ゴウケイ</t>
    </rPh>
    <phoneticPr fontId="2"/>
  </si>
  <si>
    <t>応答比率</t>
    <rPh sb="0" eb="2">
      <t>オウトウ</t>
    </rPh>
    <rPh sb="2" eb="4">
      <t>ヒリツ</t>
    </rPh>
    <phoneticPr fontId="2"/>
  </si>
  <si>
    <t>ベンダー除く</t>
    <rPh sb="4" eb="5">
      <t>ノゾ</t>
    </rPh>
    <phoneticPr fontId="2"/>
  </si>
  <si>
    <t>★</t>
    <phoneticPr fontId="2"/>
  </si>
  <si>
    <t>応答件数</t>
    <rPh sb="0" eb="2">
      <t>オウトウ</t>
    </rPh>
    <rPh sb="2" eb="4">
      <t>ケンスウ</t>
    </rPh>
    <phoneticPr fontId="2"/>
  </si>
  <si>
    <t>埼玉</t>
    <rPh sb="0" eb="2">
      <t>サイタマ</t>
    </rPh>
    <phoneticPr fontId="2"/>
  </si>
  <si>
    <t>堂島</t>
    <rPh sb="0" eb="2">
      <t>ドウジマ</t>
    </rPh>
    <phoneticPr fontId="2"/>
  </si>
  <si>
    <t>ベンダー
90004</t>
    <phoneticPr fontId="2"/>
  </si>
  <si>
    <t>既存
90001</t>
    <rPh sb="0" eb="2">
      <t>キゾン</t>
    </rPh>
    <phoneticPr fontId="2"/>
  </si>
  <si>
    <t>安否
90003</t>
    <rPh sb="0" eb="2">
      <t>アンピ</t>
    </rPh>
    <phoneticPr fontId="2"/>
  </si>
  <si>
    <t>次期
90090</t>
    <rPh sb="0" eb="2">
      <t>ジキ</t>
    </rPh>
    <phoneticPr fontId="2"/>
  </si>
  <si>
    <t>応答呼数</t>
    <rPh sb="0" eb="2">
      <t>オウトウ</t>
    </rPh>
    <rPh sb="2" eb="3">
      <t>ヨ</t>
    </rPh>
    <rPh sb="3" eb="4">
      <t>スウ</t>
    </rPh>
    <phoneticPr fontId="2"/>
  </si>
  <si>
    <t>合計</t>
    <rPh sb="0" eb="1">
      <t>ゴウケイ</t>
    </rPh>
    <phoneticPr fontId="2"/>
  </si>
  <si>
    <t>応答率</t>
    <rPh sb="0" eb="2">
      <t>オウトウ</t>
    </rPh>
    <rPh sb="2" eb="3">
      <t>リツ</t>
    </rPh>
    <phoneticPr fontId="2"/>
  </si>
  <si>
    <t>18:00まで</t>
    <phoneticPr fontId="2"/>
  </si>
  <si>
    <t>19:00まで</t>
    <phoneticPr fontId="2"/>
  </si>
  <si>
    <t>20:00まで</t>
    <phoneticPr fontId="2"/>
  </si>
  <si>
    <t>21:00まで</t>
    <phoneticPr fontId="2"/>
  </si>
  <si>
    <t>何時まで</t>
    <rPh sb="0" eb="2">
      <t>ナンジ</t>
    </rPh>
    <phoneticPr fontId="2"/>
  </si>
  <si>
    <t>22:00まで</t>
    <phoneticPr fontId="2"/>
  </si>
  <si>
    <t>3席減</t>
    <rPh sb="1" eb="2">
      <t>セキ</t>
    </rPh>
    <rPh sb="2" eb="3">
      <t>ゲン</t>
    </rPh>
    <phoneticPr fontId="2"/>
  </si>
  <si>
    <t>平日</t>
    <rPh sb="0" eb="2">
      <t>ヘイジツ</t>
    </rPh>
    <phoneticPr fontId="2"/>
  </si>
  <si>
    <t>土日祝</t>
    <rPh sb="0" eb="2">
      <t>ドニチ</t>
    </rPh>
    <rPh sb="2" eb="3">
      <t>シュク</t>
    </rPh>
    <phoneticPr fontId="2"/>
  </si>
  <si>
    <t>目標品質</t>
    <rPh sb="0" eb="2">
      <t>モクヒョウ</t>
    </rPh>
    <rPh sb="2" eb="4">
      <t>ヒンシツ</t>
    </rPh>
    <phoneticPr fontId="2"/>
  </si>
  <si>
    <t>土日祝</t>
    <rPh sb="0" eb="3">
      <t>ドニチシュク</t>
    </rPh>
    <phoneticPr fontId="2"/>
  </si>
  <si>
    <t>17:00まで</t>
    <phoneticPr fontId="2"/>
  </si>
  <si>
    <t>～19:00</t>
    <phoneticPr fontId="2"/>
  </si>
  <si>
    <t>～23:00</t>
    <phoneticPr fontId="2"/>
  </si>
  <si>
    <t>～22:00</t>
    <phoneticPr fontId="2"/>
  </si>
  <si>
    <t>18:00～</t>
    <phoneticPr fontId="2"/>
  </si>
  <si>
    <t>1H残</t>
    <rPh sb="2" eb="3">
      <t>ザン</t>
    </rPh>
    <phoneticPr fontId="2"/>
  </si>
  <si>
    <t>D2</t>
    <phoneticPr fontId="2"/>
  </si>
  <si>
    <t>～24:00</t>
    <phoneticPr fontId="2"/>
  </si>
  <si>
    <t>実績</t>
    <rPh sb="0" eb="1">
      <t>ジッセキ</t>
    </rPh>
    <phoneticPr fontId="2"/>
  </si>
  <si>
    <t>17:00までに</t>
    <phoneticPr fontId="2"/>
  </si>
  <si>
    <t>達成率</t>
    <rPh sb="0" eb="3">
      <t>タッセイリツ</t>
    </rPh>
    <phoneticPr fontId="2"/>
  </si>
  <si>
    <t>何時間後</t>
    <rPh sb="0" eb="3">
      <t>ナンジカン</t>
    </rPh>
    <rPh sb="3" eb="4">
      <t>ゴ</t>
    </rPh>
    <phoneticPr fontId="2"/>
  </si>
  <si>
    <t>1時間あたりの</t>
    <rPh sb="1" eb="3">
      <t>ジカン</t>
    </rPh>
    <phoneticPr fontId="2"/>
  </si>
  <si>
    <t>受電ペース</t>
    <rPh sb="0" eb="2">
      <t>ジュデン</t>
    </rPh>
    <phoneticPr fontId="2"/>
  </si>
  <si>
    <t>17時までのペース</t>
    <rPh sb="2" eb="3">
      <t>ジ</t>
    </rPh>
    <phoneticPr fontId="2"/>
  </si>
  <si>
    <t>1H:52件</t>
    <rPh sb="5" eb="6">
      <t>ケン</t>
    </rPh>
    <phoneticPr fontId="2"/>
  </si>
  <si>
    <t>1H:48件</t>
    <rPh sb="5" eb="6">
      <t>ケン</t>
    </rPh>
    <phoneticPr fontId="2"/>
  </si>
  <si>
    <t>15分:12件</t>
    <rPh sb="2" eb="3">
      <t>フン</t>
    </rPh>
    <rPh sb="6" eb="7">
      <t>ケン</t>
    </rPh>
    <phoneticPr fontId="2"/>
  </si>
  <si>
    <t>15分:13件</t>
    <rPh sb="2" eb="3">
      <t>フン</t>
    </rPh>
    <rPh sb="6" eb="7">
      <t>ケン</t>
    </rPh>
    <phoneticPr fontId="2"/>
  </si>
  <si>
    <t>深夜</t>
    <rPh sb="0" eb="2">
      <t>シンヤ</t>
    </rPh>
    <phoneticPr fontId="2"/>
  </si>
  <si>
    <t>SD深夜</t>
    <rPh sb="2" eb="4">
      <t>シンヤ</t>
    </rPh>
    <phoneticPr fontId="2"/>
  </si>
  <si>
    <t>やり過ぎ君　- version1 - の使い方</t>
    <rPh sb="2" eb="3">
      <t>ス</t>
    </rPh>
    <rPh sb="4" eb="5">
      <t>クン</t>
    </rPh>
    <rPh sb="20" eb="21">
      <t>ツカ</t>
    </rPh>
    <rPh sb="22" eb="23">
      <t>カタ</t>
    </rPh>
    <phoneticPr fontId="2"/>
  </si>
  <si>
    <t>Step1</t>
    <phoneticPr fontId="2"/>
  </si>
  <si>
    <t>レポート　ボタン押す</t>
    <rPh sb="8" eb="9">
      <t>オ</t>
    </rPh>
    <phoneticPr fontId="2"/>
  </si>
  <si>
    <t>Step2</t>
    <phoneticPr fontId="2"/>
  </si>
  <si>
    <t>ヒストリカル - その他 - コールレコード　を選択する</t>
    <rPh sb="11" eb="12">
      <t>タ</t>
    </rPh>
    <rPh sb="24" eb="26">
      <t>センタク</t>
    </rPh>
    <phoneticPr fontId="2"/>
  </si>
  <si>
    <t>Step3</t>
    <phoneticPr fontId="2"/>
  </si>
  <si>
    <t>集計したい</t>
    <rPh sb="0" eb="2">
      <t>シュウケイ</t>
    </rPh>
    <phoneticPr fontId="2"/>
  </si>
  <si>
    <t>開始日</t>
    <rPh sb="0" eb="3">
      <t>カイシビ</t>
    </rPh>
    <phoneticPr fontId="2"/>
  </si>
  <si>
    <t>開始時間</t>
    <rPh sb="0" eb="2">
      <t>カイシ</t>
    </rPh>
    <rPh sb="2" eb="4">
      <t>ジカン</t>
    </rPh>
    <phoneticPr fontId="2"/>
  </si>
  <si>
    <t>停止日</t>
    <rPh sb="0" eb="2">
      <t>テイシ</t>
    </rPh>
    <rPh sb="2" eb="3">
      <t>ビ</t>
    </rPh>
    <phoneticPr fontId="2"/>
  </si>
  <si>
    <t>停止時間</t>
    <rPh sb="0" eb="2">
      <t>テイシ</t>
    </rPh>
    <rPh sb="2" eb="4">
      <t>ジカン</t>
    </rPh>
    <phoneticPr fontId="2"/>
  </si>
  <si>
    <t>の各項目を指定して「OKボタン」を押す</t>
    <rPh sb="1" eb="4">
      <t>カクコウモク</t>
    </rPh>
    <rPh sb="5" eb="7">
      <t>シテイ</t>
    </rPh>
    <rPh sb="17" eb="18">
      <t>オ</t>
    </rPh>
    <phoneticPr fontId="2"/>
  </si>
  <si>
    <t>集計結果レポートが画面に表示されます</t>
    <rPh sb="0" eb="2">
      <t>シュウケイ</t>
    </rPh>
    <rPh sb="2" eb="4">
      <t>ケッカ</t>
    </rPh>
    <rPh sb="9" eb="11">
      <t>ガメン</t>
    </rPh>
    <rPh sb="12" eb="14">
      <t>ヒョウジ</t>
    </rPh>
    <phoneticPr fontId="2"/>
  </si>
  <si>
    <t>Step4</t>
    <phoneticPr fontId="2"/>
  </si>
  <si>
    <t>画面に表示された結果レポートをエクスポートする</t>
    <rPh sb="0" eb="2">
      <t>ガメン</t>
    </rPh>
    <rPh sb="3" eb="5">
      <t>ヒョウジ</t>
    </rPh>
    <rPh sb="8" eb="10">
      <t>ケッカ</t>
    </rPh>
    <phoneticPr fontId="2"/>
  </si>
  <si>
    <t>編集 - すべてのデータをエクスポート(A) を指示する</t>
    <rPh sb="0" eb="2">
      <t>ヘンシュウ</t>
    </rPh>
    <rPh sb="24" eb="26">
      <t>シジ</t>
    </rPh>
    <phoneticPr fontId="2"/>
  </si>
  <si>
    <t>Step5</t>
    <phoneticPr fontId="2"/>
  </si>
  <si>
    <t>ファイルへエクスポート(F) を選択して、保存するためのファイル名(.txt)を指定して「OKボタン」を押す</t>
    <rPh sb="16" eb="18">
      <t>センタク</t>
    </rPh>
    <rPh sb="21" eb="23">
      <t>ホゾン</t>
    </rPh>
    <rPh sb="32" eb="33">
      <t>メイ</t>
    </rPh>
    <rPh sb="40" eb="42">
      <t>シテイ</t>
    </rPh>
    <rPh sb="52" eb="53">
      <t>オ</t>
    </rPh>
    <phoneticPr fontId="2"/>
  </si>
  <si>
    <t>既に同名ファイルが存在する場合には、上書きするか？聞いてきます。</t>
    <rPh sb="0" eb="1">
      <t>スデ</t>
    </rPh>
    <rPh sb="2" eb="4">
      <t>ドウメイ</t>
    </rPh>
    <rPh sb="9" eb="11">
      <t>ソンザイ</t>
    </rPh>
    <rPh sb="13" eb="15">
      <t>バアイ</t>
    </rPh>
    <rPh sb="18" eb="20">
      <t>ウワガ</t>
    </rPh>
    <rPh sb="25" eb="26">
      <t>キ</t>
    </rPh>
    <phoneticPr fontId="2"/>
  </si>
  <si>
    <t>エクスポート終了後、下記ダイアログメッセージが表示されたらエクスポート完了です。</t>
    <rPh sb="6" eb="8">
      <t>シュウリョウ</t>
    </rPh>
    <rPh sb="8" eb="9">
      <t>ゴ</t>
    </rPh>
    <rPh sb="10" eb="12">
      <t>カキ</t>
    </rPh>
    <rPh sb="23" eb="25">
      <t>ヒョウジ</t>
    </rPh>
    <rPh sb="35" eb="37">
      <t>カンリョウ</t>
    </rPh>
    <phoneticPr fontId="2"/>
  </si>
  <si>
    <t>画面に表示されている「コールレコード」は右上の「✖」を押下して閉じてください。</t>
    <rPh sb="0" eb="2">
      <t>ガメン</t>
    </rPh>
    <rPh sb="3" eb="5">
      <t>ヒョウジ</t>
    </rPh>
    <rPh sb="20" eb="22">
      <t>ミギウエ</t>
    </rPh>
    <rPh sb="27" eb="29">
      <t>オウカ</t>
    </rPh>
    <rPh sb="31" eb="32">
      <t>ト</t>
    </rPh>
    <phoneticPr fontId="2"/>
  </si>
  <si>
    <t>Step6</t>
    <phoneticPr fontId="2"/>
  </si>
  <si>
    <t>「やり過ぎ君」の実行</t>
    <rPh sb="3" eb="4">
      <t>ス</t>
    </rPh>
    <rPh sb="5" eb="6">
      <t>クン</t>
    </rPh>
    <rPh sb="8" eb="10">
      <t>ジッコウ</t>
    </rPh>
    <phoneticPr fontId="2"/>
  </si>
  <si>
    <t>画面右上の「集計開始」ボタンを押してください。</t>
    <rPh sb="0" eb="2">
      <t>ガメン</t>
    </rPh>
    <rPh sb="2" eb="4">
      <t>ミギウエ</t>
    </rPh>
    <rPh sb="6" eb="8">
      <t>シュウケイ</t>
    </rPh>
    <rPh sb="8" eb="10">
      <t>カイシ</t>
    </rPh>
    <rPh sb="15" eb="16">
      <t>オ</t>
    </rPh>
    <phoneticPr fontId="2"/>
  </si>
  <si>
    <t>Step5　にて保存したエクスポートファイルを指定するようダイアログメッセージが表示されます。</t>
    <rPh sb="8" eb="10">
      <t>ホゾン</t>
    </rPh>
    <rPh sb="23" eb="25">
      <t>シテイ</t>
    </rPh>
    <rPh sb="40" eb="42">
      <t>ヒョウジ</t>
    </rPh>
    <phoneticPr fontId="2"/>
  </si>
  <si>
    <t>集計処理は、ほんの一瞬で終了します。下記ダイアログが表示されますので結果を確認してください。</t>
    <rPh sb="0" eb="2">
      <t>シュウケイ</t>
    </rPh>
    <rPh sb="2" eb="4">
      <t>ショリ</t>
    </rPh>
    <rPh sb="9" eb="11">
      <t>イッシュン</t>
    </rPh>
    <rPh sb="12" eb="14">
      <t>シュウリョウ</t>
    </rPh>
    <rPh sb="18" eb="20">
      <t>カキ</t>
    </rPh>
    <rPh sb="26" eb="28">
      <t>ヒョウジ</t>
    </rPh>
    <rPh sb="34" eb="36">
      <t>ケッカ</t>
    </rPh>
    <rPh sb="37" eb="39">
      <t>カクニン</t>
    </rPh>
    <phoneticPr fontId="2"/>
  </si>
  <si>
    <t>やり過ぎダメですよ！</t>
    <rPh sb="2" eb="3">
      <t>ス</t>
    </rPh>
    <phoneticPr fontId="2"/>
  </si>
  <si>
    <t>注意事項</t>
    <rPh sb="0" eb="2">
      <t>チュウイ</t>
    </rPh>
    <rPh sb="2" eb="4">
      <t>ジコウ</t>
    </rPh>
    <phoneticPr fontId="2"/>
  </si>
  <si>
    <t>「やり過ぎ君は、あくまでも基本表の値のみ集計しています。</t>
    <rPh sb="3" eb="4">
      <t>ス</t>
    </rPh>
    <rPh sb="5" eb="6">
      <t>クン</t>
    </rPh>
    <rPh sb="13" eb="15">
      <t>キホン</t>
    </rPh>
    <rPh sb="15" eb="16">
      <t>ヒョウ</t>
    </rPh>
    <rPh sb="17" eb="18">
      <t>アタイ</t>
    </rPh>
    <rPh sb="20" eb="22">
      <t>シュウケイ</t>
    </rPh>
    <phoneticPr fontId="2"/>
  </si>
  <si>
    <r>
      <t>時間経過や残り時間などの目安値を求めるためには、各自</t>
    </r>
    <r>
      <rPr>
        <sz val="11"/>
        <color rgb="FF7030A0"/>
        <rFont val="Meiryo UI"/>
        <family val="3"/>
        <charset val="128"/>
      </rPr>
      <t>紫網掛け部分</t>
    </r>
    <r>
      <rPr>
        <sz val="11"/>
        <rFont val="Meiryo UI"/>
        <family val="3"/>
        <charset val="128"/>
      </rPr>
      <t>に</t>
    </r>
    <rPh sb="0" eb="2">
      <t>ジカン</t>
    </rPh>
    <rPh sb="2" eb="4">
      <t>ケイカ</t>
    </rPh>
    <rPh sb="5" eb="6">
      <t>ノコ</t>
    </rPh>
    <rPh sb="7" eb="9">
      <t>ジカン</t>
    </rPh>
    <rPh sb="12" eb="14">
      <t>メヤス</t>
    </rPh>
    <rPh sb="14" eb="15">
      <t>アタイ</t>
    </rPh>
    <rPh sb="16" eb="17">
      <t>モト</t>
    </rPh>
    <rPh sb="24" eb="26">
      <t>カクジ</t>
    </rPh>
    <rPh sb="26" eb="27">
      <t>ムラサキ</t>
    </rPh>
    <rPh sb="27" eb="29">
      <t>アミカ</t>
    </rPh>
    <rPh sb="30" eb="32">
      <t>ブブン</t>
    </rPh>
    <phoneticPr fontId="2"/>
  </si>
  <si>
    <t>23:00までに</t>
    <phoneticPr fontId="2"/>
  </si>
  <si>
    <t>早番時責</t>
    <rPh sb="0" eb="2">
      <t>ハヤバン</t>
    </rPh>
    <rPh sb="2" eb="3">
      <t>ジ</t>
    </rPh>
    <rPh sb="3" eb="4">
      <t>セキ</t>
    </rPh>
    <phoneticPr fontId="2"/>
  </si>
  <si>
    <t>遅番時責</t>
    <rPh sb="0" eb="2">
      <t>オソバン</t>
    </rPh>
    <rPh sb="2" eb="3">
      <t>ジ</t>
    </rPh>
    <rPh sb="3" eb="4">
      <t>セキ</t>
    </rPh>
    <phoneticPr fontId="2"/>
  </si>
  <si>
    <t>Avaya CMC Supervisor にて</t>
    <phoneticPr fontId="2"/>
  </si>
  <si>
    <t>Avaya CMC Supervisor の「統合レポート」より</t>
    <rPh sb="23" eb="25">
      <t>トウゴウ</t>
    </rPh>
    <phoneticPr fontId="2"/>
  </si>
  <si>
    <t>入電件数</t>
    <rPh sb="0" eb="2">
      <t>ニュウデン</t>
    </rPh>
    <rPh sb="2" eb="3">
      <t>ケン</t>
    </rPh>
    <rPh sb="3" eb="4">
      <t>スウ</t>
    </rPh>
    <phoneticPr fontId="2"/>
  </si>
  <si>
    <t>入電件数/応答呼数　を「やり過ぎ君」の入電件数/応答呼数　へ転記してください。</t>
    <rPh sb="0" eb="2">
      <t>ニュウデン</t>
    </rPh>
    <rPh sb="2" eb="4">
      <t>ケンスウ</t>
    </rPh>
    <rPh sb="5" eb="7">
      <t>オウトウ</t>
    </rPh>
    <rPh sb="7" eb="8">
      <t>コ</t>
    </rPh>
    <rPh sb="8" eb="9">
      <t>スウ</t>
    </rPh>
    <rPh sb="14" eb="15">
      <t>ス</t>
    </rPh>
    <rPh sb="16" eb="17">
      <t>クン</t>
    </rPh>
    <rPh sb="19" eb="21">
      <t>ニュウデン</t>
    </rPh>
    <rPh sb="21" eb="23">
      <t>ケンスウ</t>
    </rPh>
    <rPh sb="24" eb="26">
      <t>オウトウ</t>
    </rPh>
    <rPh sb="26" eb="27">
      <t>ヨ</t>
    </rPh>
    <rPh sb="27" eb="28">
      <t>スウ</t>
    </rPh>
    <rPh sb="30" eb="32">
      <t>テンキ</t>
    </rPh>
    <phoneticPr fontId="2"/>
  </si>
  <si>
    <t>Step7</t>
    <phoneticPr fontId="2"/>
  </si>
  <si>
    <t>23:00まで</t>
    <phoneticPr fontId="2"/>
  </si>
  <si>
    <t>17:00まで(23:00までの)の残り時間を入力してください。</t>
    <rPh sb="18" eb="19">
      <t>ノコ</t>
    </rPh>
    <rPh sb="20" eb="22">
      <t>ジカン</t>
    </rPh>
    <rPh sb="23" eb="25">
      <t>ニュウリョク</t>
    </rPh>
    <phoneticPr fontId="2"/>
  </si>
  <si>
    <t>Step8</t>
    <phoneticPr fontId="2"/>
  </si>
  <si>
    <t>時間ごとの進捗ペースを後の参考として分析するため、日付シートを作成して時間ごとの状況記録をお願します。</t>
    <rPh sb="0" eb="2">
      <t>ジカン</t>
    </rPh>
    <rPh sb="5" eb="7">
      <t>シンチョク</t>
    </rPh>
    <rPh sb="11" eb="12">
      <t>ノチ</t>
    </rPh>
    <rPh sb="13" eb="15">
      <t>サンコウ</t>
    </rPh>
    <rPh sb="18" eb="20">
      <t>ブンセキ</t>
    </rPh>
    <rPh sb="25" eb="26">
      <t>ヒ</t>
    </rPh>
    <rPh sb="26" eb="27">
      <t>ツケ</t>
    </rPh>
    <rPh sb="31" eb="33">
      <t>サクセイ</t>
    </rPh>
    <rPh sb="35" eb="37">
      <t>ジカン</t>
    </rPh>
    <rPh sb="40" eb="42">
      <t>ジョウキョウ</t>
    </rPh>
    <rPh sb="42" eb="44">
      <t>キロク</t>
    </rPh>
    <rPh sb="46" eb="47">
      <t>ネガイ</t>
    </rPh>
    <phoneticPr fontId="2"/>
  </si>
  <si>
    <t>下記範囲をコピーして・・・</t>
    <rPh sb="0" eb="2">
      <t>カキ</t>
    </rPh>
    <rPh sb="2" eb="4">
      <t>ハンイ</t>
    </rPh>
    <phoneticPr fontId="2"/>
  </si>
  <si>
    <t>日付シートに張り付けてください</t>
    <rPh sb="0" eb="1">
      <t>ヒ</t>
    </rPh>
    <rPh sb="1" eb="2">
      <t>ツケ</t>
    </rPh>
    <rPh sb="6" eb="7">
      <t>ハ</t>
    </rPh>
    <rPh sb="8" eb="9">
      <t>ツ</t>
    </rPh>
    <phoneticPr fontId="2"/>
  </si>
  <si>
    <t>以上です</t>
    <rPh sb="0" eb="2">
      <t>イジョウ</t>
    </rPh>
    <phoneticPr fontId="2"/>
  </si>
  <si>
    <t>～18:00</t>
    <phoneticPr fontId="2"/>
  </si>
  <si>
    <t>23:00～</t>
    <phoneticPr fontId="2"/>
  </si>
  <si>
    <t>17:00～</t>
    <phoneticPr fontId="2"/>
  </si>
  <si>
    <t>～20:00</t>
    <phoneticPr fontId="2"/>
  </si>
  <si>
    <t>大塚悠司</t>
    <phoneticPr fontId="2"/>
  </si>
  <si>
    <t>五井裕宗</t>
    <phoneticPr fontId="2"/>
  </si>
  <si>
    <t>五日市仁</t>
    <phoneticPr fontId="2"/>
  </si>
  <si>
    <t>船見毅</t>
    <phoneticPr fontId="2"/>
  </si>
  <si>
    <t>遠藤早織</t>
    <phoneticPr fontId="2"/>
  </si>
  <si>
    <t>原小海</t>
    <phoneticPr fontId="2"/>
  </si>
  <si>
    <t>宮本梓</t>
    <phoneticPr fontId="2"/>
  </si>
  <si>
    <t>津久井理恵</t>
    <phoneticPr fontId="2"/>
  </si>
  <si>
    <t>佐藤亜紗美</t>
    <phoneticPr fontId="2"/>
  </si>
  <si>
    <t>金井美和</t>
    <phoneticPr fontId="2"/>
  </si>
  <si>
    <t>尾高楓</t>
    <phoneticPr fontId="2"/>
  </si>
  <si>
    <t>堀越真由美</t>
    <phoneticPr fontId="2"/>
  </si>
  <si>
    <t>石橋恵</t>
    <phoneticPr fontId="2"/>
  </si>
  <si>
    <t>高柳輝</t>
    <phoneticPr fontId="2"/>
  </si>
  <si>
    <t>相田末歩</t>
    <phoneticPr fontId="2"/>
  </si>
  <si>
    <t>竹渕加奈</t>
    <phoneticPr fontId="2"/>
  </si>
  <si>
    <t>小礒由理</t>
    <phoneticPr fontId="2"/>
  </si>
  <si>
    <t>長谷達哉</t>
    <phoneticPr fontId="2"/>
  </si>
  <si>
    <t>横田正則</t>
    <phoneticPr fontId="2"/>
  </si>
  <si>
    <t>関根裕美</t>
    <phoneticPr fontId="2"/>
  </si>
  <si>
    <t>五十嵐健太</t>
    <phoneticPr fontId="2"/>
  </si>
  <si>
    <t>荒井勇紀</t>
    <phoneticPr fontId="2"/>
  </si>
  <si>
    <t>内田妙子</t>
    <phoneticPr fontId="2"/>
  </si>
  <si>
    <t>鈴木里菜</t>
    <phoneticPr fontId="2"/>
  </si>
  <si>
    <t>長島衣織</t>
    <phoneticPr fontId="2"/>
  </si>
  <si>
    <t>木村奈月</t>
    <phoneticPr fontId="2"/>
  </si>
  <si>
    <t>小美野真絢</t>
    <phoneticPr fontId="2"/>
  </si>
  <si>
    <t>稲元菜々</t>
    <phoneticPr fontId="2"/>
  </si>
  <si>
    <t>氏名</t>
    <rPh sb="0" eb="2">
      <t>シメイ</t>
    </rPh>
    <phoneticPr fontId="2"/>
  </si>
  <si>
    <t>応答件数</t>
    <rPh sb="0" eb="4">
      <t>オウトウケンスウ</t>
    </rPh>
    <phoneticPr fontId="2"/>
  </si>
  <si>
    <t>席数</t>
    <rPh sb="0" eb="2">
      <t>セキスウ</t>
    </rPh>
    <phoneticPr fontId="2"/>
  </si>
  <si>
    <t>埼玉:13席コントロール</t>
    <rPh sb="0" eb="2">
      <t>サイタマ</t>
    </rPh>
    <rPh sb="5" eb="6">
      <t>セキ</t>
    </rPh>
    <phoneticPr fontId="2"/>
  </si>
  <si>
    <t>堂島:5席</t>
    <rPh sb="0" eb="2">
      <t>ドウジマ</t>
    </rPh>
    <rPh sb="4" eb="5">
      <t>セキ</t>
    </rPh>
    <phoneticPr fontId="2"/>
  </si>
  <si>
    <t>D</t>
    <phoneticPr fontId="2"/>
  </si>
  <si>
    <t>【時刻】</t>
    <rPh sb="1" eb="3">
      <t>ジコク</t>
    </rPh>
    <phoneticPr fontId="2"/>
  </si>
  <si>
    <t>~9:00</t>
    <phoneticPr fontId="2"/>
  </si>
  <si>
    <t>9:00~10:00</t>
    <phoneticPr fontId="2"/>
  </si>
  <si>
    <t>10:00~11:00</t>
    <phoneticPr fontId="2"/>
  </si>
  <si>
    <t>11:00~12:00</t>
    <phoneticPr fontId="2"/>
  </si>
  <si>
    <t>13:00~14:00</t>
    <phoneticPr fontId="2"/>
  </si>
  <si>
    <t>14:00~15:00</t>
    <phoneticPr fontId="2"/>
  </si>
  <si>
    <t>15:00~16:00</t>
    <phoneticPr fontId="2"/>
  </si>
  <si>
    <t>16:00~17:00</t>
    <phoneticPr fontId="2"/>
  </si>
  <si>
    <t>17:00~18:00</t>
    <phoneticPr fontId="2"/>
  </si>
  <si>
    <t>~18:00</t>
    <phoneticPr fontId="2"/>
  </si>
  <si>
    <t>18:00~</t>
    <phoneticPr fontId="2"/>
  </si>
  <si>
    <t>18:00~19:00</t>
    <phoneticPr fontId="2"/>
  </si>
  <si>
    <t>19:00~20:00</t>
    <phoneticPr fontId="2"/>
  </si>
  <si>
    <t>20:00~21:00</t>
    <phoneticPr fontId="2"/>
  </si>
  <si>
    <t>21:00~22:00</t>
    <phoneticPr fontId="2"/>
  </si>
  <si>
    <t>22:00~23:00</t>
    <phoneticPr fontId="2"/>
  </si>
  <si>
    <t>23:00~24:00</t>
    <phoneticPr fontId="2"/>
  </si>
  <si>
    <t>12:00~13:00</t>
    <phoneticPr fontId="2"/>
  </si>
  <si>
    <t>時間帯別：対応件数</t>
    <rPh sb="0" eb="3">
      <t>ジカンタイ</t>
    </rPh>
    <rPh sb="3" eb="4">
      <t>ベツ</t>
    </rPh>
    <rPh sb="5" eb="7">
      <t>タイオウ</t>
    </rPh>
    <rPh sb="7" eb="9">
      <t>ケンスウ</t>
    </rPh>
    <phoneticPr fontId="2"/>
  </si>
  <si>
    <t>15分あたりの
受電ペース</t>
    <rPh sb="2" eb="3">
      <t>フン</t>
    </rPh>
    <rPh sb="8" eb="10">
      <t>ジュデン</t>
    </rPh>
    <phoneticPr fontId="2"/>
  </si>
  <si>
    <t>15-30</t>
    <phoneticPr fontId="2"/>
  </si>
  <si>
    <t>30-45</t>
    <phoneticPr fontId="2"/>
  </si>
  <si>
    <t>00-15</t>
    <phoneticPr fontId="2"/>
  </si>
  <si>
    <t>残件数</t>
    <rPh sb="0" eb="2">
      <t>ケンスウ</t>
    </rPh>
    <phoneticPr fontId="2"/>
  </si>
  <si>
    <t>予定</t>
    <rPh sb="0" eb="2">
      <t>ヨテイ</t>
    </rPh>
    <phoneticPr fontId="2"/>
  </si>
  <si>
    <t>45-60</t>
  </si>
  <si>
    <t>名前</t>
    <rPh sb="0" eb="2">
      <t>ナマエ</t>
    </rPh>
    <phoneticPr fontId="2"/>
  </si>
  <si>
    <t>時間</t>
    <rPh sb="0" eb="2">
      <t>ジカン</t>
    </rPh>
    <phoneticPr fontId="2"/>
  </si>
  <si>
    <t>0:00
~
9:00</t>
    <phoneticPr fontId="2"/>
  </si>
  <si>
    <t>17:00以降</t>
    <rPh sb="5" eb="7">
      <t>イコウ</t>
    </rPh>
    <phoneticPr fontId="2"/>
  </si>
  <si>
    <t>残件数</t>
    <rPh sb="0" eb="1">
      <t>ザン</t>
    </rPh>
    <rPh sb="1" eb="2">
      <t>ケン</t>
    </rPh>
    <rPh sb="2" eb="3">
      <t>スウ</t>
    </rPh>
    <phoneticPr fontId="2"/>
  </si>
  <si>
    <t>大塚悠司</t>
  </si>
  <si>
    <t>最低ノルマ</t>
    <rPh sb="0" eb="2">
      <t>サイテイ</t>
    </rPh>
    <phoneticPr fontId="2"/>
  </si>
  <si>
    <t>目安</t>
    <rPh sb="0" eb="2">
      <t>メヤス</t>
    </rPh>
    <phoneticPr fontId="2"/>
  </si>
  <si>
    <t>17時まで</t>
    <rPh sb="2" eb="3">
      <t>ジ</t>
    </rPh>
    <phoneticPr fontId="2"/>
  </si>
  <si>
    <t>1H48件ペース</t>
    <rPh sb="4" eb="5">
      <t>ケン</t>
    </rPh>
    <phoneticPr fontId="2"/>
  </si>
  <si>
    <t>09:00~10:00</t>
    <phoneticPr fontId="2"/>
  </si>
  <si>
    <t>9月平日</t>
    <rPh sb="1" eb="2">
      <t>ガツ</t>
    </rPh>
    <rPh sb="2" eb="4">
      <t>ヘイジツ</t>
    </rPh>
    <phoneticPr fontId="2"/>
  </si>
  <si>
    <r>
      <t>9月</t>
    </r>
    <r>
      <rPr>
        <sz val="11"/>
        <color rgb="FFFF0000"/>
        <rFont val="Meiryo UI"/>
        <family val="3"/>
        <charset val="128"/>
      </rPr>
      <t>土日祝</t>
    </r>
    <rPh sb="1" eb="2">
      <t>ガツ</t>
    </rPh>
    <rPh sb="2" eb="4">
      <t>ドニチ</t>
    </rPh>
    <rPh sb="4" eb="5">
      <t>シュク</t>
    </rPh>
    <phoneticPr fontId="2"/>
  </si>
  <si>
    <t>相田末歩</t>
  </si>
  <si>
    <t>長島衣織</t>
  </si>
  <si>
    <t>横田正則</t>
  </si>
  <si>
    <t>全員</t>
    <rPh sb="0" eb="2">
      <t>ゼンイン</t>
    </rPh>
    <phoneticPr fontId="2"/>
  </si>
  <si>
    <t>終了時間</t>
    <rPh sb="0" eb="2">
      <t>シュウリョウ</t>
    </rPh>
    <rPh sb="2" eb="4">
      <t>ジカン</t>
    </rPh>
    <phoneticPr fontId="2"/>
  </si>
  <si>
    <t>～21:30</t>
    <phoneticPr fontId="2"/>
  </si>
  <si>
    <t>担当者</t>
    <rPh sb="0" eb="3">
      <t>タントウシャ</t>
    </rPh>
    <phoneticPr fontId="2"/>
  </si>
  <si>
    <t>勤務</t>
    <rPh sb="0" eb="2">
      <t>キンム</t>
    </rPh>
    <phoneticPr fontId="2"/>
  </si>
  <si>
    <t>津久井理恵</t>
  </si>
  <si>
    <t>関根裕美</t>
  </si>
  <si>
    <t>五十嵐健太</t>
  </si>
  <si>
    <t>荒井勇紀</t>
  </si>
  <si>
    <t>竹渕加奈</t>
  </si>
  <si>
    <t>船見毅</t>
  </si>
  <si>
    <t>宮本梓</t>
  </si>
  <si>
    <t>原小海</t>
  </si>
  <si>
    <t>稲元菜々</t>
  </si>
  <si>
    <t>遠藤早織</t>
  </si>
  <si>
    <t>五日市仁</t>
  </si>
  <si>
    <t>E2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</si>
</sst>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0.0"/>
    <numFmt numFmtId="178" formatCode="#,##0.0;[Red]\-#,##0.0"/>
    <numFmt numFmtId="179" formatCode="0&quot;件&quot;"/>
    <numFmt numFmtId="180" formatCode="0_);[Red]\(0\)"/>
    <numFmt numFmtId="181" formatCode="0.0_);[Red]\(0.0\)"/>
  </numFmts>
  <fonts count="20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sz val="11"/>
      <color rgb="FF0000FF"/>
      <name val="Meiryo UI"/>
      <family val="3"/>
      <charset val="128"/>
    </font>
    <font>
      <sz val="12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rgb="FFFF0000"/>
      <name val="Meiryo UI"/>
      <family val="3"/>
      <charset val="128"/>
    </font>
    <font>
      <sz val="11"/>
      <color rgb="FF7030A0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1"/>
      <name val="游ゴシック"/>
      <family val="2"/>
      <charset val="128"/>
      <scheme val="minor"/>
    </font>
    <font>
      <b/>
      <sz val="10"/>
      <color theme="1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b/>
      <sz val="10.5"/>
      <color theme="1"/>
      <name val="Meiryo UI"/>
      <family val="3"/>
      <charset val="128"/>
    </font>
    <font>
      <sz val="12"/>
      <color theme="1"/>
      <name val="Meiryo UI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5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/>
      <top style="thin">
        <color indexed="64"/>
      </top>
      <bottom style="thin">
        <color indexed="64"/>
      </bottom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double">
        <color theme="4"/>
      </top>
      <bottom style="double">
        <color theme="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thin">
        <color theme="4"/>
      </top>
      <bottom style="double">
        <color theme="4"/>
      </bottom>
      <diagonal/>
    </border>
    <border>
      <left/>
      <right style="double">
        <color theme="4"/>
      </right>
      <top style="thin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 diagonalDown="1">
      <left style="double">
        <color theme="4"/>
      </left>
      <right/>
      <top style="double">
        <color theme="4"/>
      </top>
      <bottom/>
      <diagonal style="thin">
        <color theme="4"/>
      </diagonal>
    </border>
    <border diagonalDown="1">
      <left/>
      <right style="double">
        <color theme="4"/>
      </right>
      <top/>
      <bottom style="double">
        <color theme="4"/>
      </bottom>
      <diagonal style="thin">
        <color theme="4"/>
      </diagonal>
    </border>
  </borders>
  <cellStyleXfs count="5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4" fillId="0" borderId="33" applyNumberFormat="0" applyFill="0" applyAlignment="0" applyProtection="0">
      <alignment vertical="center"/>
    </xf>
    <xf numFmtId="0" fontId="1" fillId="13" borderId="0" applyNumberFormat="0" applyBorder="0" applyAlignment="0" applyProtection="0">
      <alignment vertical="center"/>
    </xf>
  </cellStyleXfs>
  <cellXfs count="223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2" borderId="4" xfId="0" applyFont="1" applyFill="1" applyBorder="1">
      <alignment vertical="center"/>
    </xf>
    <xf numFmtId="176" fontId="4" fillId="0" borderId="9" xfId="1" applyNumberFormat="1" applyFont="1" applyBorder="1">
      <alignment vertical="center"/>
    </xf>
    <xf numFmtId="0" fontId="4" fillId="0" borderId="10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2" xfId="1" applyNumberFormat="1" applyFont="1" applyBorder="1">
      <alignment vertical="center"/>
    </xf>
    <xf numFmtId="0" fontId="4" fillId="0" borderId="18" xfId="0" applyFont="1" applyBorder="1">
      <alignment vertical="center"/>
    </xf>
    <xf numFmtId="0" fontId="4" fillId="0" borderId="14" xfId="0" applyFont="1" applyBorder="1">
      <alignment vertical="center"/>
    </xf>
    <xf numFmtId="0" fontId="4" fillId="2" borderId="16" xfId="0" applyFont="1" applyFill="1" applyBorder="1">
      <alignment vertical="center"/>
    </xf>
    <xf numFmtId="0" fontId="4" fillId="0" borderId="13" xfId="0" applyFont="1" applyBorder="1">
      <alignment vertical="center"/>
    </xf>
    <xf numFmtId="0" fontId="4" fillId="0" borderId="15" xfId="0" applyFont="1" applyBorder="1">
      <alignment vertical="center"/>
    </xf>
    <xf numFmtId="0" fontId="4" fillId="0" borderId="19" xfId="0" applyFont="1" applyBorder="1">
      <alignment vertical="center"/>
    </xf>
    <xf numFmtId="176" fontId="4" fillId="0" borderId="20" xfId="1" applyNumberFormat="1" applyFont="1" applyBorder="1">
      <alignment vertical="center"/>
    </xf>
    <xf numFmtId="0" fontId="4" fillId="0" borderId="8" xfId="0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>
      <alignment vertical="center"/>
    </xf>
    <xf numFmtId="38" fontId="4" fillId="0" borderId="1" xfId="2" applyFont="1" applyBorder="1">
      <alignment vertical="center"/>
    </xf>
    <xf numFmtId="38" fontId="4" fillId="0" borderId="10" xfId="2" applyFont="1" applyBorder="1">
      <alignment vertical="center"/>
    </xf>
    <xf numFmtId="0" fontId="4" fillId="0" borderId="13" xfId="0" quotePrefix="1" applyFont="1" applyBorder="1">
      <alignment vertical="center"/>
    </xf>
    <xf numFmtId="38" fontId="4" fillId="0" borderId="15" xfId="2" applyFont="1" applyBorder="1">
      <alignment vertical="center"/>
    </xf>
    <xf numFmtId="0" fontId="4" fillId="0" borderId="21" xfId="0" applyFont="1" applyBorder="1">
      <alignment vertical="center"/>
    </xf>
    <xf numFmtId="1" fontId="4" fillId="0" borderId="0" xfId="0" applyNumberFormat="1" applyFont="1">
      <alignment vertical="center"/>
    </xf>
    <xf numFmtId="38" fontId="4" fillId="0" borderId="22" xfId="0" applyNumberFormat="1" applyFont="1" applyBorder="1">
      <alignment vertical="center"/>
    </xf>
    <xf numFmtId="0" fontId="4" fillId="2" borderId="0" xfId="0" applyFont="1" applyFill="1">
      <alignment vertical="center"/>
    </xf>
    <xf numFmtId="38" fontId="4" fillId="0" borderId="0" xfId="0" applyNumberFormat="1" applyFont="1">
      <alignment vertical="center"/>
    </xf>
    <xf numFmtId="0" fontId="4" fillId="0" borderId="0" xfId="0" applyFont="1" applyAlignment="1">
      <alignment horizontal="right" vertical="center"/>
    </xf>
    <xf numFmtId="38" fontId="4" fillId="3" borderId="22" xfId="0" applyNumberFormat="1" applyFont="1" applyFill="1" applyBorder="1">
      <alignment vertical="center"/>
    </xf>
    <xf numFmtId="0" fontId="4" fillId="3" borderId="0" xfId="0" applyFont="1" applyFill="1">
      <alignment vertical="center"/>
    </xf>
    <xf numFmtId="0" fontId="4" fillId="0" borderId="0" xfId="0" applyFont="1" applyFill="1">
      <alignment vertical="center"/>
    </xf>
    <xf numFmtId="0" fontId="4" fillId="4" borderId="0" xfId="0" applyFont="1" applyFill="1">
      <alignment vertical="center"/>
    </xf>
    <xf numFmtId="176" fontId="4" fillId="3" borderId="0" xfId="0" applyNumberFormat="1" applyFont="1" applyFill="1">
      <alignment vertical="center"/>
    </xf>
    <xf numFmtId="177" fontId="4" fillId="0" borderId="0" xfId="0" applyNumberFormat="1" applyFont="1">
      <alignment vertical="center"/>
    </xf>
    <xf numFmtId="176" fontId="4" fillId="2" borderId="1" xfId="0" applyNumberFormat="1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0" borderId="0" xfId="0" applyFont="1" applyBorder="1">
      <alignment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Fill="1" applyBorder="1">
      <alignment vertical="center"/>
    </xf>
    <xf numFmtId="176" fontId="4" fillId="0" borderId="0" xfId="0" applyNumberFormat="1" applyFont="1" applyFill="1" applyBorder="1">
      <alignment vertical="center"/>
    </xf>
    <xf numFmtId="0" fontId="3" fillId="0" borderId="0" xfId="0" applyFont="1" applyFill="1" applyBorder="1">
      <alignment vertical="center"/>
    </xf>
    <xf numFmtId="20" fontId="4" fillId="0" borderId="0" xfId="0" applyNumberFormat="1" applyFont="1" applyAlignment="1">
      <alignment horizontal="center" vertical="center"/>
    </xf>
    <xf numFmtId="0" fontId="4" fillId="0" borderId="0" xfId="0" applyFont="1" applyFill="1" applyAlignment="1">
      <alignment horizontal="right" vertical="center"/>
    </xf>
    <xf numFmtId="178" fontId="5" fillId="0" borderId="0" xfId="2" applyNumberFormat="1" applyFont="1" applyFill="1">
      <alignment vertical="center"/>
    </xf>
    <xf numFmtId="0" fontId="4" fillId="2" borderId="0" xfId="0" applyFont="1" applyFill="1" applyAlignment="1">
      <alignment horizontal="center" vertical="center"/>
    </xf>
    <xf numFmtId="176" fontId="6" fillId="0" borderId="14" xfId="1" applyNumberFormat="1" applyFont="1" applyFill="1" applyBorder="1">
      <alignment vertical="center"/>
    </xf>
    <xf numFmtId="0" fontId="4" fillId="2" borderId="25" xfId="0" applyFont="1" applyFill="1" applyBorder="1">
      <alignment vertical="center"/>
    </xf>
    <xf numFmtId="176" fontId="4" fillId="2" borderId="3" xfId="1" applyNumberFormat="1" applyFont="1" applyFill="1" applyBorder="1">
      <alignment vertical="center"/>
    </xf>
    <xf numFmtId="0" fontId="7" fillId="0" borderId="0" xfId="0" applyFont="1" applyFill="1" applyBorder="1">
      <alignment vertical="center"/>
    </xf>
    <xf numFmtId="0" fontId="4" fillId="0" borderId="0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3" xfId="0" applyFont="1" applyFill="1" applyBorder="1" applyAlignment="1">
      <alignment horizontal="center" vertical="center" shrinkToFit="1"/>
    </xf>
    <xf numFmtId="0" fontId="4" fillId="4" borderId="1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38" fontId="5" fillId="0" borderId="14" xfId="2" applyFont="1" applyFill="1" applyBorder="1">
      <alignment vertical="center"/>
    </xf>
    <xf numFmtId="0" fontId="4" fillId="0" borderId="0" xfId="0" applyFont="1" applyAlignment="1">
      <alignment vertical="center"/>
    </xf>
    <xf numFmtId="177" fontId="4" fillId="0" borderId="0" xfId="0" applyNumberFormat="1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177" fontId="4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176" fontId="5" fillId="0" borderId="9" xfId="1" applyNumberFormat="1" applyFont="1" applyFill="1" applyBorder="1">
      <alignment vertical="center"/>
    </xf>
    <xf numFmtId="0" fontId="3" fillId="2" borderId="0" xfId="0" applyFont="1" applyFill="1" applyAlignment="1">
      <alignment horizontal="right" vertical="center"/>
    </xf>
    <xf numFmtId="20" fontId="4" fillId="2" borderId="0" xfId="0" applyNumberFormat="1" applyFont="1" applyFill="1" applyAlignment="1">
      <alignment horizontal="left" vertical="center"/>
    </xf>
    <xf numFmtId="177" fontId="4" fillId="2" borderId="0" xfId="0" applyNumberFormat="1" applyFont="1" applyFill="1">
      <alignment vertical="center"/>
    </xf>
    <xf numFmtId="0" fontId="4" fillId="0" borderId="5" xfId="0" applyFont="1" applyBorder="1">
      <alignment vertical="center"/>
    </xf>
    <xf numFmtId="176" fontId="3" fillId="0" borderId="9" xfId="1" applyNumberFormat="1" applyFont="1" applyFill="1" applyBorder="1">
      <alignment vertical="center"/>
    </xf>
    <xf numFmtId="38" fontId="5" fillId="3" borderId="14" xfId="2" applyFont="1" applyFill="1" applyBorder="1">
      <alignment vertical="center"/>
    </xf>
    <xf numFmtId="1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180" fontId="4" fillId="0" borderId="0" xfId="0" applyNumberFormat="1" applyFont="1" applyFill="1">
      <alignment vertical="center"/>
    </xf>
    <xf numFmtId="180" fontId="4" fillId="0" borderId="0" xfId="0" quotePrefix="1" applyNumberFormat="1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177" fontId="4" fillId="0" borderId="1" xfId="0" applyNumberFormat="1" applyFont="1" applyFill="1" applyBorder="1">
      <alignment vertical="center"/>
    </xf>
    <xf numFmtId="177" fontId="4" fillId="5" borderId="1" xfId="0" applyNumberFormat="1" applyFont="1" applyFill="1" applyBorder="1">
      <alignment vertical="center"/>
    </xf>
    <xf numFmtId="22" fontId="4" fillId="0" borderId="0" xfId="0" applyNumberFormat="1" applyFont="1" applyAlignment="1">
      <alignment horizontal="center" vertical="center"/>
    </xf>
    <xf numFmtId="20" fontId="4" fillId="0" borderId="0" xfId="0" applyNumberFormat="1" applyFont="1" applyAlignment="1">
      <alignment vertical="center"/>
    </xf>
    <xf numFmtId="0" fontId="13" fillId="0" borderId="0" xfId="0" applyFont="1" applyAlignment="1">
      <alignment horizontal="center" vertical="center"/>
    </xf>
    <xf numFmtId="180" fontId="4" fillId="0" borderId="1" xfId="0" applyNumberFormat="1" applyFont="1" applyBorder="1">
      <alignment vertical="center"/>
    </xf>
    <xf numFmtId="180" fontId="4" fillId="0" borderId="10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7" borderId="5" xfId="0" applyFont="1" applyFill="1" applyBorder="1">
      <alignment vertical="center"/>
    </xf>
    <xf numFmtId="0" fontId="4" fillId="0" borderId="27" xfId="0" applyFont="1" applyBorder="1">
      <alignment vertical="center"/>
    </xf>
    <xf numFmtId="181" fontId="4" fillId="6" borderId="28" xfId="0" applyNumberFormat="1" applyFont="1" applyFill="1" applyBorder="1">
      <alignment vertical="center"/>
    </xf>
    <xf numFmtId="0" fontId="5" fillId="0" borderId="3" xfId="0" applyFont="1" applyBorder="1">
      <alignment vertical="center"/>
    </xf>
    <xf numFmtId="1" fontId="4" fillId="0" borderId="1" xfId="0" applyNumberFormat="1" applyFont="1" applyBorder="1">
      <alignment vertical="center"/>
    </xf>
    <xf numFmtId="0" fontId="4" fillId="0" borderId="3" xfId="0" applyFont="1" applyBorder="1">
      <alignment vertical="center"/>
    </xf>
    <xf numFmtId="0" fontId="4" fillId="5" borderId="29" xfId="0" applyFont="1" applyFill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4" fillId="0" borderId="32" xfId="0" applyFont="1" applyBorder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0" borderId="30" xfId="0" applyFont="1" applyBorder="1" applyAlignment="1">
      <alignment horizontal="center" vertical="center" shrinkToFit="1"/>
    </xf>
    <xf numFmtId="0" fontId="4" fillId="2" borderId="28" xfId="0" applyFont="1" applyFill="1" applyBorder="1">
      <alignment vertical="center"/>
    </xf>
    <xf numFmtId="0" fontId="4" fillId="4" borderId="3" xfId="0" applyFont="1" applyFill="1" applyBorder="1" applyAlignment="1">
      <alignment horizontal="right" vertical="center"/>
    </xf>
    <xf numFmtId="0" fontId="3" fillId="2" borderId="18" xfId="0" applyFont="1" applyFill="1" applyBorder="1">
      <alignment vertical="center"/>
    </xf>
    <xf numFmtId="176" fontId="4" fillId="2" borderId="10" xfId="0" applyNumberFormat="1" applyFont="1" applyFill="1" applyBorder="1">
      <alignment vertical="center"/>
    </xf>
    <xf numFmtId="0" fontId="4" fillId="2" borderId="27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4" borderId="10" xfId="0" applyFont="1" applyFill="1" applyBorder="1" applyAlignment="1">
      <alignment horizontal="right" vertical="center"/>
    </xf>
    <xf numFmtId="176" fontId="4" fillId="2" borderId="27" xfId="1" applyNumberFormat="1" applyFont="1" applyFill="1" applyBorder="1">
      <alignment vertical="center"/>
    </xf>
    <xf numFmtId="0" fontId="4" fillId="2" borderId="10" xfId="0" applyFont="1" applyFill="1" applyBorder="1" applyAlignment="1">
      <alignment horizontal="center" vertical="center" shrinkToFit="1"/>
    </xf>
    <xf numFmtId="0" fontId="4" fillId="2" borderId="27" xfId="0" applyFont="1" applyFill="1" applyBorder="1" applyAlignment="1">
      <alignment horizontal="center" vertical="center" shrinkToFit="1"/>
    </xf>
    <xf numFmtId="0" fontId="4" fillId="4" borderId="27" xfId="0" applyFont="1" applyFill="1" applyBorder="1" applyAlignment="1">
      <alignment horizontal="right" vertical="center"/>
    </xf>
    <xf numFmtId="1" fontId="4" fillId="0" borderId="1" xfId="0" applyNumberFormat="1" applyFont="1" applyBorder="1" applyAlignment="1">
      <alignment horizontal="center" vertical="center"/>
    </xf>
    <xf numFmtId="0" fontId="4" fillId="12" borderId="5" xfId="0" applyFont="1" applyFill="1" applyBorder="1" applyAlignment="1">
      <alignment vertical="center"/>
    </xf>
    <xf numFmtId="0" fontId="4" fillId="12" borderId="3" xfId="0" applyFont="1" applyFill="1" applyBorder="1" applyAlignment="1">
      <alignment horizontal="left" vertical="center"/>
    </xf>
    <xf numFmtId="0" fontId="4" fillId="12" borderId="5" xfId="0" applyFont="1" applyFill="1" applyBorder="1" applyAlignment="1">
      <alignment horizontal="left" vertical="center"/>
    </xf>
    <xf numFmtId="0" fontId="4" fillId="12" borderId="18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right" vertical="center"/>
    </xf>
    <xf numFmtId="1" fontId="4" fillId="5" borderId="1" xfId="0" applyNumberFormat="1" applyFont="1" applyFill="1" applyBorder="1">
      <alignment vertical="center"/>
    </xf>
    <xf numFmtId="0" fontId="4" fillId="2" borderId="1" xfId="0" applyFont="1" applyFill="1" applyBorder="1">
      <alignment vertical="center"/>
    </xf>
    <xf numFmtId="1" fontId="4" fillId="0" borderId="1" xfId="0" applyNumberFormat="1" applyFont="1" applyFill="1" applyBorder="1">
      <alignment vertical="center"/>
    </xf>
    <xf numFmtId="180" fontId="15" fillId="5" borderId="38" xfId="3" applyNumberFormat="1" applyFont="1" applyFill="1" applyBorder="1" applyAlignment="1">
      <alignment vertical="center"/>
    </xf>
    <xf numFmtId="180" fontId="15" fillId="4" borderId="39" xfId="3" applyNumberFormat="1" applyFont="1" applyFill="1" applyBorder="1" applyAlignment="1">
      <alignment vertical="center"/>
    </xf>
    <xf numFmtId="180" fontId="15" fillId="0" borderId="33" xfId="3" applyNumberFormat="1" applyFont="1" applyBorder="1" applyAlignment="1">
      <alignment horizontal="center" vertical="center"/>
    </xf>
    <xf numFmtId="180" fontId="16" fillId="11" borderId="33" xfId="3" applyNumberFormat="1" applyFont="1" applyFill="1" applyBorder="1" applyAlignment="1">
      <alignment horizontal="center" vertical="center"/>
    </xf>
    <xf numFmtId="180" fontId="16" fillId="12" borderId="33" xfId="3" applyNumberFormat="1" applyFont="1" applyFill="1" applyBorder="1" applyAlignment="1">
      <alignment horizontal="center" vertical="center"/>
    </xf>
    <xf numFmtId="180" fontId="16" fillId="11" borderId="41" xfId="3" applyNumberFormat="1" applyFont="1" applyFill="1" applyBorder="1" applyAlignment="1">
      <alignment horizontal="center" vertical="center"/>
    </xf>
    <xf numFmtId="0" fontId="4" fillId="13" borderId="40" xfId="4" applyFont="1" applyBorder="1" applyAlignment="1">
      <alignment vertical="center"/>
    </xf>
    <xf numFmtId="0" fontId="4" fillId="13" borderId="41" xfId="4" applyFont="1" applyBorder="1" applyAlignment="1">
      <alignment vertical="center"/>
    </xf>
    <xf numFmtId="0" fontId="4" fillId="13" borderId="48" xfId="4" applyFont="1" applyBorder="1" applyAlignment="1">
      <alignment vertical="center"/>
    </xf>
    <xf numFmtId="0" fontId="4" fillId="13" borderId="43" xfId="4" applyFont="1" applyBorder="1" applyAlignment="1">
      <alignment horizontal="center"/>
    </xf>
    <xf numFmtId="0" fontId="4" fillId="13" borderId="44" xfId="4" applyFont="1" applyBorder="1" applyAlignment="1">
      <alignment horizontal="center" vertical="center"/>
    </xf>
    <xf numFmtId="0" fontId="4" fillId="13" borderId="49" xfId="4" applyFont="1" applyBorder="1" applyAlignment="1">
      <alignment vertical="center"/>
    </xf>
    <xf numFmtId="20" fontId="17" fillId="9" borderId="33" xfId="3" applyNumberFormat="1" applyFont="1" applyFill="1" applyBorder="1" applyAlignment="1">
      <alignment horizontal="center" vertical="center" wrapText="1"/>
    </xf>
    <xf numFmtId="20" fontId="17" fillId="9" borderId="41" xfId="3" applyNumberFormat="1" applyFont="1" applyFill="1" applyBorder="1" applyAlignment="1">
      <alignment horizontal="center" vertical="center" wrapText="1"/>
    </xf>
    <xf numFmtId="0" fontId="12" fillId="0" borderId="0" xfId="0" applyFont="1">
      <alignment vertical="center"/>
    </xf>
    <xf numFmtId="0" fontId="4" fillId="13" borderId="40" xfId="4" applyFont="1" applyBorder="1">
      <alignment vertical="center"/>
    </xf>
    <xf numFmtId="0" fontId="4" fillId="13" borderId="41" xfId="4" applyFont="1" applyBorder="1">
      <alignment vertical="center"/>
    </xf>
    <xf numFmtId="0" fontId="12" fillId="0" borderId="0" xfId="0" applyFont="1" applyFill="1">
      <alignment vertical="center"/>
    </xf>
    <xf numFmtId="0" fontId="4" fillId="0" borderId="1" xfId="0" applyFont="1" applyBorder="1" applyAlignment="1">
      <alignment horizontal="center" vertical="center"/>
    </xf>
    <xf numFmtId="0" fontId="18" fillId="13" borderId="40" xfId="4" applyFont="1" applyBorder="1" applyAlignment="1">
      <alignment vertical="center"/>
    </xf>
    <xf numFmtId="0" fontId="18" fillId="13" borderId="41" xfId="4" applyFont="1" applyBorder="1" applyAlignment="1">
      <alignment vertical="center"/>
    </xf>
    <xf numFmtId="177" fontId="4" fillId="0" borderId="10" xfId="0" applyNumberFormat="1" applyFont="1" applyFill="1" applyBorder="1">
      <alignment vertical="center"/>
    </xf>
    <xf numFmtId="0" fontId="12" fillId="0" borderId="0" xfId="0" applyFont="1" applyFill="1" applyAlignment="1">
      <alignment vertical="center"/>
    </xf>
    <xf numFmtId="20" fontId="4" fillId="0" borderId="0" xfId="0" applyNumberFormat="1" applyFont="1" applyFill="1" applyBorder="1" applyAlignment="1">
      <alignment horizontal="right" vertical="center"/>
    </xf>
    <xf numFmtId="0" fontId="19" fillId="0" borderId="0" xfId="0" applyFont="1">
      <alignment vertical="center"/>
    </xf>
    <xf numFmtId="0" fontId="4" fillId="5" borderId="1" xfId="0" applyFont="1" applyFill="1" applyBorder="1" applyAlignment="1">
      <alignment horizontal="center" vertical="center"/>
    </xf>
    <xf numFmtId="56" fontId="4" fillId="0" borderId="1" xfId="0" quotePrefix="1" applyNumberFormat="1" applyFont="1" applyFill="1" applyBorder="1" applyAlignment="1">
      <alignment horizontal="center" vertical="center"/>
    </xf>
    <xf numFmtId="1" fontId="4" fillId="8" borderId="1" xfId="0" applyNumberFormat="1" applyFont="1" applyFill="1" applyBorder="1">
      <alignment vertical="center"/>
    </xf>
    <xf numFmtId="0" fontId="14" fillId="9" borderId="33" xfId="3" applyFill="1" applyAlignment="1">
      <alignment vertical="center" wrapText="1"/>
    </xf>
    <xf numFmtId="0" fontId="14" fillId="9" borderId="33" xfId="3" applyFill="1" applyAlignment="1">
      <alignment horizontal="center" vertical="center" wrapText="1"/>
    </xf>
    <xf numFmtId="20" fontId="14" fillId="9" borderId="33" xfId="3" applyNumberFormat="1" applyFill="1" applyAlignment="1">
      <alignment horizontal="center" vertical="center" wrapText="1"/>
    </xf>
    <xf numFmtId="0" fontId="14" fillId="10" borderId="33" xfId="3" applyFill="1" applyAlignment="1">
      <alignment vertical="center"/>
    </xf>
    <xf numFmtId="0" fontId="14" fillId="5" borderId="33" xfId="3" applyFill="1" applyAlignment="1">
      <alignment vertical="center"/>
    </xf>
    <xf numFmtId="0" fontId="14" fillId="4" borderId="33" xfId="3" applyFill="1" applyAlignment="1">
      <alignment vertical="center"/>
    </xf>
    <xf numFmtId="0" fontId="14" fillId="0" borderId="33" xfId="3" applyAlignment="1">
      <alignment vertical="center"/>
    </xf>
    <xf numFmtId="0" fontId="14" fillId="11" borderId="33" xfId="3" applyFill="1" applyAlignment="1">
      <alignment vertical="center"/>
    </xf>
    <xf numFmtId="0" fontId="14" fillId="5" borderId="33" xfId="3" applyFill="1" applyAlignment="1">
      <alignment horizontal="center" vertical="center"/>
    </xf>
    <xf numFmtId="0" fontId="14" fillId="4" borderId="33" xfId="3" applyFill="1" applyAlignment="1">
      <alignment horizontal="center" vertical="center"/>
    </xf>
    <xf numFmtId="0" fontId="14" fillId="0" borderId="33" xfId="3">
      <alignment vertical="center"/>
    </xf>
    <xf numFmtId="0" fontId="14" fillId="11" borderId="33" xfId="3" applyFill="1">
      <alignment vertical="center"/>
    </xf>
    <xf numFmtId="20" fontId="4" fillId="0" borderId="1" xfId="0" applyNumberFormat="1" applyFont="1" applyBorder="1">
      <alignment vertical="center"/>
    </xf>
    <xf numFmtId="20" fontId="3" fillId="0" borderId="1" xfId="0" applyNumberFormat="1" applyFont="1" applyBorder="1">
      <alignment vertical="center"/>
    </xf>
    <xf numFmtId="46" fontId="4" fillId="0" borderId="1" xfId="0" applyNumberFormat="1" applyFont="1" applyBorder="1">
      <alignment vertical="center"/>
    </xf>
    <xf numFmtId="0" fontId="3" fillId="0" borderId="1" xfId="0" applyFont="1" applyBorder="1" applyAlignment="1">
      <alignment horizontal="right" vertical="center"/>
    </xf>
    <xf numFmtId="0" fontId="6" fillId="0" borderId="1" xfId="0" applyFont="1" applyBorder="1">
      <alignment vertical="center"/>
    </xf>
    <xf numFmtId="0" fontId="5" fillId="0" borderId="1" xfId="0" applyFont="1" applyBorder="1">
      <alignment vertical="center"/>
    </xf>
    <xf numFmtId="180" fontId="4" fillId="0" borderId="0" xfId="0" applyNumberFormat="1" applyFont="1" applyAlignment="1">
      <alignment horizontal="center" vertical="center"/>
    </xf>
    <xf numFmtId="177" fontId="4" fillId="0" borderId="1" xfId="0" applyNumberFormat="1" applyFont="1" applyFill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177" fontId="4" fillId="8" borderId="1" xfId="0" applyNumberFormat="1" applyFont="1" applyFill="1" applyBorder="1" applyAlignment="1">
      <alignment horizontal="right" vertical="center"/>
    </xf>
    <xf numFmtId="0" fontId="4" fillId="8" borderId="1" xfId="0" applyFont="1" applyFill="1" applyBorder="1">
      <alignment vertical="center"/>
    </xf>
    <xf numFmtId="177" fontId="4" fillId="5" borderId="23" xfId="0" applyNumberFormat="1" applyFont="1" applyFill="1" applyBorder="1">
      <alignment vertical="center"/>
    </xf>
    <xf numFmtId="177" fontId="4" fillId="0" borderId="1" xfId="0" applyNumberFormat="1" applyFont="1" applyBorder="1">
      <alignment vertical="center"/>
    </xf>
    <xf numFmtId="177" fontId="5" fillId="0" borderId="1" xfId="0" applyNumberFormat="1" applyFont="1" applyBorder="1">
      <alignment vertical="center"/>
    </xf>
    <xf numFmtId="177" fontId="4" fillId="0" borderId="10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20" fontId="4" fillId="0" borderId="0" xfId="0" applyNumberFormat="1" applyFont="1" applyFill="1" applyAlignment="1">
      <alignment horizontal="center" vertical="center"/>
    </xf>
    <xf numFmtId="179" fontId="4" fillId="0" borderId="0" xfId="0" applyNumberFormat="1" applyFont="1" applyFill="1" applyAlignment="1">
      <alignment horizontal="center" vertical="center"/>
    </xf>
    <xf numFmtId="180" fontId="4" fillId="0" borderId="1" xfId="0" applyNumberFormat="1" applyFont="1" applyFill="1" applyBorder="1">
      <alignment vertical="center"/>
    </xf>
    <xf numFmtId="0" fontId="12" fillId="0" borderId="30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 shrinkToFit="1"/>
    </xf>
    <xf numFmtId="0" fontId="4" fillId="2" borderId="23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38" fontId="4" fillId="0" borderId="30" xfId="2" applyFont="1" applyBorder="1" applyAlignment="1">
      <alignment horizontal="center" vertical="center"/>
    </xf>
    <xf numFmtId="38" fontId="4" fillId="0" borderId="31" xfId="2" applyFont="1" applyBorder="1" applyAlignment="1">
      <alignment horizontal="center" vertical="center"/>
    </xf>
    <xf numFmtId="38" fontId="4" fillId="0" borderId="29" xfId="2" applyFont="1" applyBorder="1" applyAlignment="1">
      <alignment horizontal="center" vertical="center"/>
    </xf>
    <xf numFmtId="38" fontId="4" fillId="0" borderId="28" xfId="2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24" xfId="0" applyFont="1" applyFill="1" applyBorder="1" applyAlignment="1">
      <alignment horizontal="center" vertical="center" wrapText="1"/>
    </xf>
    <xf numFmtId="180" fontId="15" fillId="12" borderId="34" xfId="3" applyNumberFormat="1" applyFont="1" applyFill="1" applyBorder="1" applyAlignment="1">
      <alignment horizontal="center" vertical="center"/>
    </xf>
    <xf numFmtId="180" fontId="15" fillId="11" borderId="34" xfId="3" applyNumberFormat="1" applyFont="1" applyFill="1" applyBorder="1" applyAlignment="1">
      <alignment horizontal="center" vertical="center"/>
    </xf>
    <xf numFmtId="180" fontId="15" fillId="11" borderId="39" xfId="3" applyNumberFormat="1" applyFont="1" applyFill="1" applyBorder="1" applyAlignment="1">
      <alignment horizontal="center" vertical="center"/>
    </xf>
    <xf numFmtId="180" fontId="15" fillId="5" borderId="42" xfId="3" applyNumberFormat="1" applyFont="1" applyFill="1" applyBorder="1" applyAlignment="1">
      <alignment horizontal="center" vertical="center"/>
    </xf>
    <xf numFmtId="180" fontId="15" fillId="5" borderId="44" xfId="3" applyNumberFormat="1" applyFont="1" applyFill="1" applyBorder="1" applyAlignment="1">
      <alignment horizontal="center" vertical="center"/>
    </xf>
    <xf numFmtId="180" fontId="15" fillId="4" borderId="43" xfId="3" applyNumberFormat="1" applyFont="1" applyFill="1" applyBorder="1" applyAlignment="1">
      <alignment horizontal="center" vertical="center"/>
    </xf>
    <xf numFmtId="180" fontId="15" fillId="4" borderId="45" xfId="3" applyNumberFormat="1" applyFont="1" applyFill="1" applyBorder="1" applyAlignment="1">
      <alignment horizontal="center" vertical="center"/>
    </xf>
    <xf numFmtId="20" fontId="15" fillId="9" borderId="34" xfId="3" applyNumberFormat="1" applyFont="1" applyFill="1" applyBorder="1" applyAlignment="1">
      <alignment horizontal="center" vertical="center" wrapText="1"/>
    </xf>
    <xf numFmtId="20" fontId="15" fillId="9" borderId="39" xfId="3" applyNumberFormat="1" applyFont="1" applyFill="1" applyBorder="1" applyAlignment="1">
      <alignment horizontal="center" vertical="center" wrapText="1"/>
    </xf>
    <xf numFmtId="0" fontId="4" fillId="13" borderId="40" xfId="4" applyFont="1" applyBorder="1" applyAlignment="1">
      <alignment horizontal="center" vertical="center"/>
    </xf>
    <xf numFmtId="0" fontId="4" fillId="13" borderId="41" xfId="4" applyFont="1" applyBorder="1" applyAlignment="1">
      <alignment horizontal="center" vertical="center"/>
    </xf>
    <xf numFmtId="0" fontId="15" fillId="9" borderId="47" xfId="3" applyFont="1" applyFill="1" applyBorder="1" applyAlignment="1">
      <alignment horizontal="center" vertical="center" wrapText="1"/>
    </xf>
    <xf numFmtId="0" fontId="15" fillId="9" borderId="46" xfId="3" applyFont="1" applyFill="1" applyBorder="1" applyAlignment="1">
      <alignment horizontal="center" vertical="center" wrapText="1"/>
    </xf>
    <xf numFmtId="0" fontId="14" fillId="0" borderId="33" xfId="3" applyAlignment="1">
      <alignment horizontal="center" vertical="center"/>
    </xf>
    <xf numFmtId="0" fontId="14" fillId="9" borderId="33" xfId="3" applyFill="1" applyAlignment="1">
      <alignment horizontal="center" vertical="center"/>
    </xf>
  </cellXfs>
  <cellStyles count="5">
    <cellStyle name="20% - アクセント 1" xfId="4" builtinId="30"/>
    <cellStyle name="パーセント" xfId="1" builtinId="5"/>
    <cellStyle name="桁区切り" xfId="2" builtinId="6"/>
    <cellStyle name="集計" xfId="3" builtinId="25"/>
    <cellStyle name="標準" xfId="0" builtinId="0"/>
  </cellStyles>
  <dxfs count="5"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  <color rgb="FFFFFFCC"/>
      <color rgb="FFFFFFFF"/>
      <color rgb="FFCC99FF"/>
      <color rgb="FF0000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1</xdr:row>
          <xdr:rowOff>28575</xdr:rowOff>
        </xdr:from>
        <xdr:to>
          <xdr:col>15</xdr:col>
          <xdr:colOff>704850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19050</xdr:rowOff>
    </xdr:from>
    <xdr:to>
      <xdr:col>6</xdr:col>
      <xdr:colOff>0</xdr:colOff>
      <xdr:row>15</xdr:row>
      <xdr:rowOff>171450</xdr:rowOff>
    </xdr:to>
    <xdr:sp macro="" textlink="">
      <xdr:nvSpPr>
        <xdr:cNvPr id="2" name="矢印: 上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076575" y="2886075"/>
          <a:ext cx="685800" cy="35242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76200</xdr:colOff>
      <xdr:row>14</xdr:row>
      <xdr:rowOff>19050</xdr:rowOff>
    </xdr:from>
    <xdr:to>
      <xdr:col>9</xdr:col>
      <xdr:colOff>762000</xdr:colOff>
      <xdr:row>15</xdr:row>
      <xdr:rowOff>171450</xdr:rowOff>
    </xdr:to>
    <xdr:sp macro="" textlink="">
      <xdr:nvSpPr>
        <xdr:cNvPr id="4" name="矢印: 上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934075" y="2886075"/>
          <a:ext cx="685800" cy="352425"/>
        </a:xfrm>
        <a:prstGeom prst="up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48</xdr:row>
          <xdr:rowOff>200025</xdr:rowOff>
        </xdr:from>
        <xdr:to>
          <xdr:col>2</xdr:col>
          <xdr:colOff>19050</xdr:colOff>
          <xdr:row>49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詳細分析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20</xdr:row>
      <xdr:rowOff>0</xdr:rowOff>
    </xdr:from>
    <xdr:to>
      <xdr:col>10</xdr:col>
      <xdr:colOff>514350</xdr:colOff>
      <xdr:row>25</xdr:row>
      <xdr:rowOff>47625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743200" y="1047750"/>
          <a:ext cx="46291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552449</xdr:colOff>
      <xdr:row>20</xdr:row>
      <xdr:rowOff>123825</xdr:rowOff>
    </xdr:from>
    <xdr:to>
      <xdr:col>5</xdr:col>
      <xdr:colOff>8849</xdr:colOff>
      <xdr:row>22</xdr:row>
      <xdr:rowOff>180975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2609849" y="1171575"/>
          <a:ext cx="828000" cy="45720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19050</xdr:colOff>
      <xdr:row>27</xdr:row>
      <xdr:rowOff>19050</xdr:rowOff>
    </xdr:from>
    <xdr:to>
      <xdr:col>12</xdr:col>
      <xdr:colOff>457200</xdr:colOff>
      <xdr:row>46</xdr:row>
      <xdr:rowOff>171450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762250" y="2466975"/>
          <a:ext cx="592455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49</xdr:row>
      <xdr:rowOff>28575</xdr:rowOff>
    </xdr:from>
    <xdr:to>
      <xdr:col>10</xdr:col>
      <xdr:colOff>400050</xdr:colOff>
      <xdr:row>65</xdr:row>
      <xdr:rowOff>133350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876550" y="6877050"/>
          <a:ext cx="4514850" cy="330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9525</xdr:colOff>
      <xdr:row>67</xdr:row>
      <xdr:rowOff>19050</xdr:rowOff>
    </xdr:from>
    <xdr:to>
      <xdr:col>16</xdr:col>
      <xdr:colOff>600075</xdr:colOff>
      <xdr:row>102</xdr:row>
      <xdr:rowOff>133350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886075" y="10467975"/>
          <a:ext cx="8820150" cy="711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</xdr:colOff>
      <xdr:row>106</xdr:row>
      <xdr:rowOff>9525</xdr:rowOff>
    </xdr:from>
    <xdr:to>
      <xdr:col>11</xdr:col>
      <xdr:colOff>257175</xdr:colOff>
      <xdr:row>120</xdr:row>
      <xdr:rowOff>76200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895600" y="18259425"/>
          <a:ext cx="5038725" cy="2867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28575</xdr:colOff>
      <xdr:row>123</xdr:row>
      <xdr:rowOff>47625</xdr:rowOff>
    </xdr:from>
    <xdr:to>
      <xdr:col>9</xdr:col>
      <xdr:colOff>400050</xdr:colOff>
      <xdr:row>140</xdr:row>
      <xdr:rowOff>66675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905125" y="21697950"/>
          <a:ext cx="3800475" cy="3419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</xdr:colOff>
      <xdr:row>143</xdr:row>
      <xdr:rowOff>19050</xdr:rowOff>
    </xdr:from>
    <xdr:to>
      <xdr:col>9</xdr:col>
      <xdr:colOff>457200</xdr:colOff>
      <xdr:row>150</xdr:row>
      <xdr:rowOff>19050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895600" y="25669875"/>
          <a:ext cx="3867150" cy="1400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</xdr:colOff>
      <xdr:row>155</xdr:row>
      <xdr:rowOff>28575</xdr:rowOff>
    </xdr:from>
    <xdr:to>
      <xdr:col>19</xdr:col>
      <xdr:colOff>552450</xdr:colOff>
      <xdr:row>172</xdr:row>
      <xdr:rowOff>171450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895600" y="28079700"/>
          <a:ext cx="10820400" cy="3543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9525</xdr:colOff>
      <xdr:row>175</xdr:row>
      <xdr:rowOff>28575</xdr:rowOff>
    </xdr:from>
    <xdr:to>
      <xdr:col>7</xdr:col>
      <xdr:colOff>419100</xdr:colOff>
      <xdr:row>181</xdr:row>
      <xdr:rowOff>114300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886075" y="32080200"/>
          <a:ext cx="2466975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9525</xdr:colOff>
      <xdr:row>182</xdr:row>
      <xdr:rowOff>19050</xdr:rowOff>
    </xdr:from>
    <xdr:to>
      <xdr:col>14</xdr:col>
      <xdr:colOff>476250</xdr:colOff>
      <xdr:row>206</xdr:row>
      <xdr:rowOff>76200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886075" y="33470850"/>
          <a:ext cx="7324725" cy="485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9525</xdr:colOff>
      <xdr:row>209</xdr:row>
      <xdr:rowOff>19050</xdr:rowOff>
    </xdr:from>
    <xdr:to>
      <xdr:col>7</xdr:col>
      <xdr:colOff>142875</xdr:colOff>
      <xdr:row>215</xdr:row>
      <xdr:rowOff>104775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886075" y="38871525"/>
          <a:ext cx="219075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5</xdr:row>
      <xdr:rowOff>9525</xdr:rowOff>
    </xdr:from>
    <xdr:to>
      <xdr:col>8</xdr:col>
      <xdr:colOff>400050</xdr:colOff>
      <xdr:row>16</xdr:row>
      <xdr:rowOff>66675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381125" y="1057275"/>
          <a:ext cx="4638675" cy="2257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9525</xdr:colOff>
      <xdr:row>5</xdr:row>
      <xdr:rowOff>0</xdr:rowOff>
    </xdr:from>
    <xdr:to>
      <xdr:col>13</xdr:col>
      <xdr:colOff>371475</xdr:colOff>
      <xdr:row>10</xdr:row>
      <xdr:rowOff>180975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000875" y="1047750"/>
          <a:ext cx="2419350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28575</xdr:colOff>
      <xdr:row>6</xdr:row>
      <xdr:rowOff>171450</xdr:rowOff>
    </xdr:from>
    <xdr:to>
      <xdr:col>9</xdr:col>
      <xdr:colOff>628650</xdr:colOff>
      <xdr:row>10</xdr:row>
      <xdr:rowOff>66675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334125" y="1419225"/>
          <a:ext cx="600075" cy="6953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800100</xdr:colOff>
      <xdr:row>227</xdr:row>
      <xdr:rowOff>28575</xdr:rowOff>
    </xdr:from>
    <xdr:to>
      <xdr:col>16</xdr:col>
      <xdr:colOff>19050</xdr:colOff>
      <xdr:row>233</xdr:row>
      <xdr:rowOff>9525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171700" y="45548550"/>
          <a:ext cx="8953500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19050</xdr:colOff>
      <xdr:row>235</xdr:row>
      <xdr:rowOff>19050</xdr:rowOff>
    </xdr:from>
    <xdr:to>
      <xdr:col>15</xdr:col>
      <xdr:colOff>647700</xdr:colOff>
      <xdr:row>257</xdr:row>
      <xdr:rowOff>85725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209800" y="47139225"/>
          <a:ext cx="8858250" cy="446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U45"/>
  <sheetViews>
    <sheetView tabSelected="1" topLeftCell="A7" zoomScale="98" zoomScaleNormal="98" workbookViewId="0">
      <selection activeCell="H26" sqref="H26"/>
    </sheetView>
  </sheetViews>
  <sheetFormatPr defaultRowHeight="15.75"/>
  <cols>
    <col min="1" max="1" width="5.5" style="19" bestFit="1" customWidth="1"/>
    <col min="2" max="2" width="9" style="1"/>
    <col min="3" max="3" width="9" style="1" customWidth="1"/>
    <col min="4" max="4" width="9" style="1"/>
    <col min="5" max="5" width="10" style="1" bestFit="1" customWidth="1"/>
    <col min="6" max="6" width="9" style="1"/>
    <col min="7" max="7" width="9" style="1" bestFit="1" customWidth="1"/>
    <col min="8" max="8" width="9" style="1"/>
    <col min="9" max="9" width="9.5" style="1" bestFit="1" customWidth="1"/>
    <col min="10" max="10" width="10.75" style="1" customWidth="1"/>
    <col min="11" max="11" width="2.25" style="1" customWidth="1"/>
    <col min="12" max="12" width="9.5" style="1" bestFit="1" customWidth="1"/>
    <col min="13" max="15" width="9" style="1" customWidth="1"/>
    <col min="16" max="17" width="9.75" style="1" customWidth="1"/>
    <col min="18" max="18" width="2.375" style="1" customWidth="1"/>
    <col min="19" max="19" width="9" style="1" customWidth="1"/>
    <col min="20" max="20" width="9.375" style="1" customWidth="1"/>
    <col min="21" max="21" width="13" style="1" bestFit="1" customWidth="1"/>
    <col min="22" max="22" width="3.125" style="1" customWidth="1"/>
    <col min="23" max="23" width="3" style="1" customWidth="1"/>
    <col min="24" max="77" width="4.75" style="1" customWidth="1"/>
    <col min="78" max="78" width="5.125" style="1" customWidth="1"/>
    <col min="79" max="16384" width="9" style="1"/>
  </cols>
  <sheetData>
    <row r="1" spans="1:21">
      <c r="B1" s="81" t="s">
        <v>129</v>
      </c>
      <c r="C1" s="79" t="str">
        <f ca="1">TEXT(NOW(),"hh:mm")</f>
        <v>19:02</v>
      </c>
      <c r="D1" s="80"/>
      <c r="E1" s="80"/>
      <c r="F1" s="44"/>
      <c r="G1" s="163"/>
      <c r="H1" s="44"/>
      <c r="I1" s="44"/>
      <c r="J1" s="44"/>
    </row>
    <row r="2" spans="1:21">
      <c r="D2" s="19"/>
      <c r="E2" s="19"/>
      <c r="F2" s="19"/>
      <c r="G2" s="19"/>
      <c r="H2" s="19"/>
      <c r="I2" s="59"/>
      <c r="J2" s="19"/>
    </row>
    <row r="3" spans="1:21" ht="16.5" thickBot="1">
      <c r="A3" s="165" t="s">
        <v>3</v>
      </c>
      <c r="H3" s="19"/>
      <c r="I3" s="59"/>
      <c r="J3" s="63"/>
      <c r="M3" s="36"/>
    </row>
    <row r="4" spans="1:21" ht="16.5" customHeight="1" thickBot="1">
      <c r="B4" s="204"/>
      <c r="C4" s="205" t="s">
        <v>8</v>
      </c>
      <c r="D4" s="205" t="s">
        <v>10</v>
      </c>
      <c r="E4" s="205" t="s">
        <v>7</v>
      </c>
      <c r="F4" s="206" t="s">
        <v>9</v>
      </c>
      <c r="G4" s="199" t="s">
        <v>0</v>
      </c>
      <c r="H4" s="200"/>
      <c r="I4" s="184" t="s">
        <v>2</v>
      </c>
      <c r="J4" s="200"/>
      <c r="L4" s="20"/>
      <c r="M4" s="84" t="s">
        <v>81</v>
      </c>
      <c r="N4" s="84" t="s">
        <v>11</v>
      </c>
      <c r="S4" s="5" t="s">
        <v>164</v>
      </c>
      <c r="T4" s="5" t="s">
        <v>157</v>
      </c>
      <c r="U4" s="168" t="s">
        <v>165</v>
      </c>
    </row>
    <row r="5" spans="1:21" ht="15.75" customHeight="1" thickBot="1">
      <c r="B5" s="204"/>
      <c r="C5" s="201"/>
      <c r="D5" s="201"/>
      <c r="E5" s="201"/>
      <c r="F5" s="207"/>
      <c r="G5" s="2" t="s">
        <v>4</v>
      </c>
      <c r="H5" s="3" t="s">
        <v>1</v>
      </c>
      <c r="I5" s="4" t="s">
        <v>4</v>
      </c>
      <c r="J5" s="3" t="s">
        <v>1</v>
      </c>
      <c r="L5" s="5" t="s">
        <v>5</v>
      </c>
      <c r="M5" s="21">
        <v>561</v>
      </c>
      <c r="N5" s="21">
        <v>641</v>
      </c>
      <c r="O5" s="28"/>
      <c r="P5" s="27">
        <f>N5-O5</f>
        <v>641</v>
      </c>
      <c r="S5" s="5">
        <v>8</v>
      </c>
      <c r="T5" s="5">
        <v>9</v>
      </c>
      <c r="U5" s="5">
        <v>0</v>
      </c>
    </row>
    <row r="6" spans="1:21" ht="16.5" thickBot="1">
      <c r="B6" s="5" t="s">
        <v>5</v>
      </c>
      <c r="C6" s="82">
        <v>447</v>
      </c>
      <c r="D6" s="82">
        <v>47</v>
      </c>
      <c r="E6" s="82">
        <v>40</v>
      </c>
      <c r="F6" s="6"/>
      <c r="G6" s="18">
        <f>SUM(C6:F6)</f>
        <v>534</v>
      </c>
      <c r="H6" s="7">
        <f>G6/(G6+G7)</f>
        <v>0.80059970014992499</v>
      </c>
      <c r="I6" s="85">
        <f>C6+D6</f>
        <v>494</v>
      </c>
      <c r="J6" s="65">
        <f>I6/(I6+I7)</f>
        <v>0.82885906040268453</v>
      </c>
      <c r="L6" s="8" t="s">
        <v>6</v>
      </c>
      <c r="M6" s="22">
        <v>145</v>
      </c>
      <c r="N6" s="21">
        <v>111</v>
      </c>
      <c r="O6" s="28"/>
      <c r="P6" s="27">
        <f>N6-O6</f>
        <v>111</v>
      </c>
      <c r="S6" s="5">
        <v>7</v>
      </c>
      <c r="T6" s="5">
        <v>10</v>
      </c>
      <c r="U6" s="5">
        <v>48</v>
      </c>
    </row>
    <row r="7" spans="1:21" ht="16.5" thickBot="1">
      <c r="B7" s="8" t="s">
        <v>6</v>
      </c>
      <c r="C7" s="83">
        <v>33</v>
      </c>
      <c r="D7" s="83">
        <v>69</v>
      </c>
      <c r="E7" s="83">
        <v>31</v>
      </c>
      <c r="F7" s="49"/>
      <c r="G7" s="9">
        <f>SUM(C7:E7)</f>
        <v>133</v>
      </c>
      <c r="H7" s="17">
        <f>G7/(G6+G7)</f>
        <v>0.19940029985007496</v>
      </c>
      <c r="I7" s="11">
        <f>C7+D7</f>
        <v>102</v>
      </c>
      <c r="J7" s="10">
        <f>I7/(I6+I7)</f>
        <v>0.17114093959731544</v>
      </c>
      <c r="L7" s="23" t="s">
        <v>12</v>
      </c>
      <c r="M7" s="58">
        <f>SUM(M5:M6)</f>
        <v>706</v>
      </c>
      <c r="N7" s="58">
        <f>SUM(N5:N6)</f>
        <v>752</v>
      </c>
      <c r="P7" s="31">
        <f>SUM(P5:P6)</f>
        <v>752</v>
      </c>
      <c r="S7" s="5">
        <v>6</v>
      </c>
      <c r="T7" s="5">
        <v>11</v>
      </c>
      <c r="U7" s="5">
        <v>96</v>
      </c>
    </row>
    <row r="8" spans="1:21" ht="16.5" thickBot="1">
      <c r="B8" s="14" t="s">
        <v>0</v>
      </c>
      <c r="C8" s="12">
        <f>SUM(C6:C7)</f>
        <v>480</v>
      </c>
      <c r="D8" s="12">
        <f>SUM(D6:D7)</f>
        <v>116</v>
      </c>
      <c r="E8" s="12">
        <f>SUM(E6:E7)</f>
        <v>71</v>
      </c>
      <c r="F8" s="13">
        <f>SUM(F6:F7)</f>
        <v>0</v>
      </c>
      <c r="G8" s="14">
        <f>SUM(G6:G7)</f>
        <v>667</v>
      </c>
      <c r="H8" s="15"/>
      <c r="I8" s="16">
        <f>SUM(I6:I7)</f>
        <v>596</v>
      </c>
      <c r="J8" s="15"/>
      <c r="L8" s="14" t="s">
        <v>13</v>
      </c>
      <c r="M8" s="48">
        <f>N7/M7</f>
        <v>1.065155807365439</v>
      </c>
      <c r="N8" s="25"/>
      <c r="O8" s="30"/>
      <c r="P8" s="29"/>
      <c r="S8" s="5">
        <v>5</v>
      </c>
      <c r="T8" s="5">
        <v>12</v>
      </c>
      <c r="U8" s="5">
        <v>144</v>
      </c>
    </row>
    <row r="9" spans="1:21">
      <c r="E9" s="32" t="s">
        <v>167</v>
      </c>
      <c r="F9" s="32" t="s">
        <v>20</v>
      </c>
      <c r="G9" s="32" t="str">
        <f>"責任応答件数 540件まで、あと"&amp;(540-I6)&amp;"応答"</f>
        <v>責任応答件数 540件まで、あと46応答</v>
      </c>
      <c r="H9" s="35"/>
      <c r="I9" s="32"/>
      <c r="J9" s="32"/>
      <c r="L9" s="34" t="s">
        <v>21</v>
      </c>
      <c r="M9" s="34" t="str">
        <f>"633着信まで、あと"&amp;(633-M7)&amp;"件"</f>
        <v>633着信まで、あと-73件</v>
      </c>
      <c r="N9" s="34"/>
      <c r="O9" s="30"/>
      <c r="P9" s="29"/>
      <c r="S9" s="5">
        <v>4</v>
      </c>
      <c r="T9" s="5">
        <v>13</v>
      </c>
      <c r="U9" s="5">
        <v>192</v>
      </c>
    </row>
    <row r="10" spans="1:21">
      <c r="E10" s="32" t="s">
        <v>168</v>
      </c>
      <c r="F10" s="32" t="s">
        <v>20</v>
      </c>
      <c r="G10" s="32" t="str">
        <f>"責任応答件数 540件まで、あと"&amp;(540-I6)&amp;"応答"</f>
        <v>責任応答件数 540件まで、あと46応答</v>
      </c>
      <c r="H10" s="35"/>
      <c r="I10" s="32"/>
      <c r="J10" s="32"/>
      <c r="L10" s="34" t="s">
        <v>22</v>
      </c>
      <c r="M10" s="34" t="str">
        <f>"600着信まで、あと"&amp;(600-M7)&amp;"件"</f>
        <v>600着信まで、あと-106件</v>
      </c>
      <c r="N10" s="34"/>
      <c r="P10" s="36"/>
      <c r="S10" s="5">
        <v>3</v>
      </c>
      <c r="T10" s="5">
        <v>14</v>
      </c>
      <c r="U10" s="5">
        <v>240</v>
      </c>
    </row>
    <row r="11" spans="1:21">
      <c r="P11" s="46"/>
      <c r="S11" s="5">
        <v>2</v>
      </c>
      <c r="T11" s="5">
        <v>15</v>
      </c>
      <c r="U11" s="5">
        <v>288</v>
      </c>
    </row>
    <row r="12" spans="1:21" ht="16.5" customHeight="1" thickBot="1">
      <c r="B12" s="93" t="s">
        <v>23</v>
      </c>
      <c r="C12" s="94" t="s">
        <v>1</v>
      </c>
      <c r="D12" s="95" t="s">
        <v>4</v>
      </c>
      <c r="E12" s="189" t="s">
        <v>34</v>
      </c>
      <c r="F12" s="189"/>
      <c r="G12" s="95" t="s">
        <v>35</v>
      </c>
      <c r="H12" s="190" t="s">
        <v>39</v>
      </c>
      <c r="I12" s="191"/>
      <c r="J12" s="96" t="s">
        <v>76</v>
      </c>
      <c r="L12" s="196" t="s">
        <v>36</v>
      </c>
      <c r="M12" s="192" t="s">
        <v>37</v>
      </c>
      <c r="N12" s="193"/>
      <c r="O12" s="198" t="s">
        <v>18</v>
      </c>
      <c r="P12" s="179" t="s">
        <v>149</v>
      </c>
      <c r="Q12" s="180"/>
      <c r="S12" s="5">
        <v>1</v>
      </c>
      <c r="T12" s="5">
        <v>16</v>
      </c>
      <c r="U12" s="5">
        <v>336</v>
      </c>
    </row>
    <row r="13" spans="1:21">
      <c r="B13" s="97" t="s">
        <v>21</v>
      </c>
      <c r="C13" s="37">
        <v>0.86299999999999999</v>
      </c>
      <c r="D13" s="38">
        <v>550</v>
      </c>
      <c r="E13" s="62">
        <v>410</v>
      </c>
      <c r="F13" s="55" t="str">
        <f>"あと "&amp;(E13-I6)</f>
        <v>あと -84</v>
      </c>
      <c r="G13" s="50">
        <f>I6/E13</f>
        <v>1.2048780487804878</v>
      </c>
      <c r="H13" s="53" t="s">
        <v>40</v>
      </c>
      <c r="I13" s="54" t="s">
        <v>43</v>
      </c>
      <c r="J13" s="98" t="str">
        <f>"あと "&amp;(D13-I6)</f>
        <v>あと 56</v>
      </c>
      <c r="L13" s="196"/>
      <c r="M13" s="194" t="s">
        <v>38</v>
      </c>
      <c r="N13" s="195"/>
      <c r="O13" s="198"/>
      <c r="P13" s="181"/>
      <c r="Q13" s="182"/>
      <c r="S13" s="5">
        <v>0</v>
      </c>
      <c r="T13" s="5">
        <v>17</v>
      </c>
      <c r="U13" s="5">
        <v>384</v>
      </c>
    </row>
    <row r="14" spans="1:21">
      <c r="B14" s="99" t="s">
        <v>24</v>
      </c>
      <c r="C14" s="100">
        <v>0.85699999999999998</v>
      </c>
      <c r="D14" s="101">
        <v>540</v>
      </c>
      <c r="E14" s="102">
        <v>400</v>
      </c>
      <c r="F14" s="103" t="str">
        <f>"あと "&amp;(E14-I6)</f>
        <v>あと -94</v>
      </c>
      <c r="G14" s="104">
        <f>I6/E14</f>
        <v>1.2350000000000001</v>
      </c>
      <c r="H14" s="105" t="s">
        <v>41</v>
      </c>
      <c r="I14" s="106" t="s">
        <v>42</v>
      </c>
      <c r="J14" s="107" t="str">
        <f>"あと "&amp;(D14-I6)</f>
        <v>あと 46</v>
      </c>
      <c r="L14" s="197"/>
      <c r="M14" s="84" t="s">
        <v>21</v>
      </c>
      <c r="N14" s="92" t="s">
        <v>22</v>
      </c>
      <c r="O14" s="187"/>
      <c r="P14" s="135" t="s">
        <v>21</v>
      </c>
      <c r="Q14" s="92" t="s">
        <v>22</v>
      </c>
    </row>
    <row r="15" spans="1:21" s="33" customFormat="1">
      <c r="A15" s="166"/>
      <c r="B15" s="43"/>
      <c r="C15" s="42"/>
      <c r="D15" s="41"/>
      <c r="F15" s="45"/>
      <c r="L15" s="87">
        <f ca="1">17-HOUR($C$1) - MINUTE($C$1)/60</f>
        <v>-2.0333333333333332</v>
      </c>
      <c r="M15" s="171">
        <f ca="1">(E13-I6)/L15</f>
        <v>41.311475409836071</v>
      </c>
      <c r="N15" s="171">
        <f ca="1">(E14-I6)/L15</f>
        <v>46.229508196721312</v>
      </c>
      <c r="O15" s="91" t="s">
        <v>25</v>
      </c>
      <c r="P15" s="78">
        <f ca="1">M15/4</f>
        <v>10.327868852459018</v>
      </c>
      <c r="Q15" s="78">
        <f ca="1">N15/4</f>
        <v>11.557377049180328</v>
      </c>
      <c r="R15" s="74"/>
    </row>
    <row r="16" spans="1:21" s="33" customFormat="1">
      <c r="A16" s="167"/>
      <c r="B16" s="41"/>
      <c r="H16" s="41"/>
      <c r="I16" s="41"/>
      <c r="L16" s="87">
        <f ca="1">18-HOUR($C$1) - MINUTE($C$1)/60</f>
        <v>-1.0333333333333334</v>
      </c>
      <c r="M16" s="172">
        <f t="shared" ref="M16:M21" ca="1" si="0">($D$13-$I$6)/L16</f>
        <v>-54.193548387096769</v>
      </c>
      <c r="N16" s="172">
        <f t="shared" ref="N16:N21" ca="1" si="1">($D$14-$I$6)/L16</f>
        <v>-44.516129032258057</v>
      </c>
      <c r="O16" s="90" t="s">
        <v>14</v>
      </c>
      <c r="P16" s="77">
        <f t="shared" ref="P16:P21" ca="1" si="2">M16/4</f>
        <v>-13.548387096774192</v>
      </c>
      <c r="Q16" s="77">
        <f t="shared" ref="Q16:Q21" ca="1" si="3">N16/4</f>
        <v>-11.129032258064514</v>
      </c>
    </row>
    <row r="17" spans="1:21" s="33" customFormat="1">
      <c r="A17" s="167"/>
      <c r="F17" s="19" t="s">
        <v>77</v>
      </c>
      <c r="G17" s="60"/>
      <c r="H17" s="41"/>
      <c r="I17" s="41"/>
      <c r="J17" s="19" t="s">
        <v>78</v>
      </c>
      <c r="L17" s="87">
        <f ca="1">19-HOUR($C$1) - MINUTE($C$1)/60</f>
        <v>-3.3333333333333333E-2</v>
      </c>
      <c r="M17" s="172">
        <f t="shared" ca="1" si="0"/>
        <v>-1680</v>
      </c>
      <c r="N17" s="172">
        <f t="shared" ca="1" si="1"/>
        <v>-1380</v>
      </c>
      <c r="O17" s="90" t="s">
        <v>15</v>
      </c>
      <c r="P17" s="77">
        <f t="shared" ca="1" si="2"/>
        <v>-420</v>
      </c>
      <c r="Q17" s="77">
        <f t="shared" ca="1" si="3"/>
        <v>-345</v>
      </c>
    </row>
    <row r="18" spans="1:21" s="33" customFormat="1">
      <c r="A18" s="167"/>
      <c r="H18" s="52"/>
      <c r="I18" s="52"/>
      <c r="J18" s="30"/>
      <c r="L18" s="87">
        <f ca="1">20-HOUR($C$1) - MINUTE($C$1)/60</f>
        <v>0.96666666666666667</v>
      </c>
      <c r="M18" s="172">
        <f t="shared" ca="1" si="0"/>
        <v>57.931034482758619</v>
      </c>
      <c r="N18" s="172">
        <f t="shared" ca="1" si="1"/>
        <v>47.586206896551722</v>
      </c>
      <c r="O18" s="90" t="s">
        <v>16</v>
      </c>
      <c r="P18" s="77">
        <f t="shared" ca="1" si="2"/>
        <v>14.482758620689655</v>
      </c>
      <c r="Q18" s="77">
        <f t="shared" ca="1" si="3"/>
        <v>11.896551724137931</v>
      </c>
    </row>
    <row r="19" spans="1:21" s="33" customFormat="1" ht="19.5" customHeight="1">
      <c r="A19" s="166" t="s">
        <v>157</v>
      </c>
      <c r="B19" s="176" t="s">
        <v>176</v>
      </c>
      <c r="C19" s="176" t="s">
        <v>175</v>
      </c>
      <c r="D19" s="176" t="s">
        <v>54</v>
      </c>
      <c r="E19" s="177" t="s">
        <v>173</v>
      </c>
      <c r="F19" s="175" t="s">
        <v>154</v>
      </c>
      <c r="G19" s="142" t="s">
        <v>33</v>
      </c>
      <c r="H19" s="143" t="s">
        <v>153</v>
      </c>
      <c r="I19" s="75"/>
      <c r="J19" s="51"/>
      <c r="L19" s="87">
        <f ca="1">21-HOUR($C$1) - MINUTE($C$1)/60</f>
        <v>1.9666666666666666</v>
      </c>
      <c r="M19" s="173">
        <f t="shared" ca="1" si="0"/>
        <v>28.474576271186443</v>
      </c>
      <c r="N19" s="172">
        <f t="shared" ca="1" si="1"/>
        <v>23.389830508474578</v>
      </c>
      <c r="O19" s="88" t="s">
        <v>17</v>
      </c>
      <c r="P19" s="77">
        <f t="shared" ca="1" si="2"/>
        <v>7.1186440677966107</v>
      </c>
      <c r="Q19" s="77">
        <f t="shared" ca="1" si="3"/>
        <v>5.8474576271186445</v>
      </c>
    </row>
    <row r="20" spans="1:21" s="33" customFormat="1">
      <c r="A20" s="166">
        <v>1</v>
      </c>
      <c r="B20" s="76"/>
      <c r="C20" s="19" t="s">
        <v>172</v>
      </c>
      <c r="D20" s="1" t="s">
        <v>93</v>
      </c>
      <c r="E20" s="26" t="s">
        <v>91</v>
      </c>
      <c r="F20" s="144">
        <f>F29 - SUM(F21:F26)</f>
        <v>51</v>
      </c>
      <c r="G20" s="170">
        <f>時間帯別!O30</f>
        <v>51</v>
      </c>
      <c r="H20" s="169">
        <f>F20-G20</f>
        <v>0</v>
      </c>
      <c r="I20" s="41"/>
      <c r="J20" s="41"/>
      <c r="L20" s="87">
        <f ca="1">22-HOUR($C$1) - MINUTE($C$1)/60</f>
        <v>2.9666666666666668</v>
      </c>
      <c r="M20" s="174">
        <f t="shared" ca="1" si="0"/>
        <v>18.876404494382022</v>
      </c>
      <c r="N20" s="174">
        <f t="shared" ca="1" si="1"/>
        <v>15.50561797752809</v>
      </c>
      <c r="O20" s="86" t="s">
        <v>19</v>
      </c>
      <c r="P20" s="77">
        <f t="shared" ca="1" si="2"/>
        <v>4.7191011235955056</v>
      </c>
      <c r="Q20" s="77">
        <f t="shared" ca="1" si="3"/>
        <v>3.8764044943820224</v>
      </c>
    </row>
    <row r="21" spans="1:21" s="33" customFormat="1">
      <c r="A21" s="166">
        <v>1</v>
      </c>
      <c r="B21" s="76" t="s">
        <v>30</v>
      </c>
      <c r="C21" s="134" t="s">
        <v>161</v>
      </c>
      <c r="D21" s="1" t="s">
        <v>29</v>
      </c>
      <c r="E21" s="26" t="s">
        <v>26</v>
      </c>
      <c r="F21" s="178">
        <v>4</v>
      </c>
      <c r="G21" s="113">
        <f>VLOOKUP($C21,$L$25:$O$43,4,0)</f>
        <v>4</v>
      </c>
      <c r="H21" s="164">
        <f t="shared" ref="H21:H23" si="4">F21-G21</f>
        <v>0</v>
      </c>
      <c r="I21" s="52"/>
      <c r="J21" s="41"/>
      <c r="L21" s="87">
        <f ca="1">23-HOUR($C$1) - MINUTE($C$1)/60</f>
        <v>3.9666666666666668</v>
      </c>
      <c r="M21" s="174">
        <f t="shared" ca="1" si="0"/>
        <v>14.117647058823529</v>
      </c>
      <c r="N21" s="174">
        <f t="shared" ca="1" si="1"/>
        <v>11.596638655462185</v>
      </c>
      <c r="O21" s="86" t="s">
        <v>84</v>
      </c>
      <c r="P21" s="138">
        <f t="shared" ca="1" si="2"/>
        <v>3.5294117647058822</v>
      </c>
      <c r="Q21" s="138">
        <f t="shared" ca="1" si="3"/>
        <v>2.8991596638655461</v>
      </c>
    </row>
    <row r="22" spans="1:21">
      <c r="A22" s="19">
        <v>2</v>
      </c>
      <c r="B22" s="76" t="s">
        <v>128</v>
      </c>
      <c r="C22" s="134" t="s">
        <v>181</v>
      </c>
      <c r="D22" s="1" t="s">
        <v>29</v>
      </c>
      <c r="E22" s="26" t="s">
        <v>94</v>
      </c>
      <c r="F22" s="82">
        <v>10</v>
      </c>
      <c r="G22" s="113">
        <f t="shared" ref="G22:G26" si="5">VLOOKUP($C22,$L$25:$O$43,4,0)</f>
        <v>6</v>
      </c>
      <c r="H22" s="164">
        <f t="shared" si="4"/>
        <v>4</v>
      </c>
      <c r="I22" s="41"/>
      <c r="J22" s="59"/>
      <c r="K22" s="19"/>
      <c r="P22" s="39"/>
      <c r="Q22" s="39"/>
    </row>
    <row r="23" spans="1:21">
      <c r="A23" s="19">
        <v>4</v>
      </c>
      <c r="B23" s="76" t="s">
        <v>188</v>
      </c>
      <c r="C23" s="134" t="s">
        <v>171</v>
      </c>
      <c r="D23" s="33" t="s">
        <v>29</v>
      </c>
      <c r="E23" s="1" t="s">
        <v>174</v>
      </c>
      <c r="F23" s="82">
        <v>16</v>
      </c>
      <c r="G23" s="113">
        <f t="shared" si="5"/>
        <v>4</v>
      </c>
      <c r="H23" s="164">
        <f t="shared" si="4"/>
        <v>12</v>
      </c>
      <c r="I23" s="41"/>
      <c r="J23" s="64"/>
      <c r="K23" s="19"/>
      <c r="L23" s="201" t="s">
        <v>123</v>
      </c>
      <c r="M23" s="201"/>
      <c r="N23" s="203" t="s">
        <v>124</v>
      </c>
      <c r="O23" s="201"/>
      <c r="T23" s="134"/>
    </row>
    <row r="24" spans="1:21">
      <c r="A24" s="19">
        <v>5</v>
      </c>
      <c r="B24" s="76" t="s">
        <v>31</v>
      </c>
      <c r="C24" s="134" t="s">
        <v>186</v>
      </c>
      <c r="D24" s="33" t="s">
        <v>29</v>
      </c>
      <c r="E24" s="26" t="s">
        <v>28</v>
      </c>
      <c r="F24" s="82">
        <v>22</v>
      </c>
      <c r="G24" s="113">
        <f t="shared" si="5"/>
        <v>7</v>
      </c>
      <c r="H24" s="164">
        <f t="shared" ref="H24:H25" si="6">F24-G24</f>
        <v>15</v>
      </c>
      <c r="I24" s="41"/>
      <c r="J24" s="64"/>
      <c r="K24" s="19"/>
      <c r="L24" s="202"/>
      <c r="M24" s="202"/>
      <c r="N24" s="4" t="s">
        <v>91</v>
      </c>
      <c r="O24" s="108" t="s">
        <v>29</v>
      </c>
      <c r="T24" s="134"/>
    </row>
    <row r="25" spans="1:21">
      <c r="A25" s="19">
        <v>5</v>
      </c>
      <c r="B25" s="76" t="s">
        <v>31</v>
      </c>
      <c r="C25" s="134" t="s">
        <v>179</v>
      </c>
      <c r="D25" s="33" t="s">
        <v>29</v>
      </c>
      <c r="E25" s="1" t="s">
        <v>27</v>
      </c>
      <c r="F25" s="82">
        <v>22</v>
      </c>
      <c r="G25" s="113">
        <f t="shared" si="5"/>
        <v>7</v>
      </c>
      <c r="H25" s="164">
        <f t="shared" si="6"/>
        <v>15</v>
      </c>
      <c r="I25" s="41"/>
      <c r="L25" s="110" t="str">
        <f>詳細!$B5</f>
        <v>大塚悠司</v>
      </c>
      <c r="M25" s="109"/>
      <c r="N25" s="69">
        <f>詳細!$D5</f>
        <v>66</v>
      </c>
      <c r="O25" s="72">
        <f>詳細!E5</f>
        <v>4</v>
      </c>
      <c r="T25" s="134"/>
    </row>
    <row r="26" spans="1:21">
      <c r="A26" s="19">
        <v>5</v>
      </c>
      <c r="B26" s="19" t="s">
        <v>31</v>
      </c>
      <c r="C26" s="134" t="s">
        <v>187</v>
      </c>
      <c r="D26" s="33" t="s">
        <v>29</v>
      </c>
      <c r="E26" s="1" t="s">
        <v>27</v>
      </c>
      <c r="F26" s="82">
        <v>0</v>
      </c>
      <c r="G26" s="113" t="e">
        <f t="shared" si="5"/>
        <v>#N/A</v>
      </c>
      <c r="H26" s="164" t="e">
        <f>F26-G26</f>
        <v>#N/A</v>
      </c>
      <c r="I26" s="41"/>
      <c r="L26" s="110" t="str">
        <f>詳細!$B6</f>
        <v>船見毅</v>
      </c>
      <c r="M26" s="109"/>
      <c r="N26" s="69">
        <f>詳細!$D6</f>
        <v>18</v>
      </c>
      <c r="O26" s="72">
        <f>詳細!E6</f>
        <v>0</v>
      </c>
      <c r="T26" s="134"/>
    </row>
    <row r="27" spans="1:21">
      <c r="A27" s="19">
        <v>1</v>
      </c>
      <c r="B27" s="47" t="s">
        <v>44</v>
      </c>
      <c r="C27" s="28"/>
      <c r="D27" s="28" t="s">
        <v>92</v>
      </c>
      <c r="E27" s="61" t="s">
        <v>32</v>
      </c>
      <c r="F27" s="115">
        <v>2</v>
      </c>
      <c r="G27" s="115"/>
      <c r="H27" s="115"/>
      <c r="I27" s="41"/>
      <c r="J27" s="33"/>
      <c r="L27" s="110" t="str">
        <f>詳細!$B7</f>
        <v>遠藤早織</v>
      </c>
      <c r="M27" s="109"/>
      <c r="N27" s="69">
        <f>詳細!$D7</f>
        <v>23</v>
      </c>
      <c r="O27" s="72">
        <f>詳細!E7</f>
        <v>7</v>
      </c>
    </row>
    <row r="28" spans="1:21" s="33" customFormat="1">
      <c r="A28" s="166">
        <v>1</v>
      </c>
      <c r="B28" s="47" t="s">
        <v>45</v>
      </c>
      <c r="C28" s="28"/>
      <c r="D28" s="28" t="s">
        <v>92</v>
      </c>
      <c r="E28" s="61" t="s">
        <v>32</v>
      </c>
      <c r="F28" s="115"/>
      <c r="G28" s="115"/>
      <c r="H28" s="115"/>
      <c r="I28" s="41"/>
      <c r="J28" s="52"/>
      <c r="L28" s="110" t="str">
        <f>詳細!$B8</f>
        <v>原小海</v>
      </c>
      <c r="M28" s="109"/>
      <c r="N28" s="69">
        <f>詳細!$D8</f>
        <v>28</v>
      </c>
      <c r="O28" s="72">
        <f>詳細!E8</f>
        <v>0</v>
      </c>
      <c r="U28" s="1"/>
    </row>
    <row r="29" spans="1:21" s="33" customFormat="1">
      <c r="A29" s="166"/>
      <c r="B29" s="40"/>
      <c r="C29" s="1"/>
      <c r="D29" s="1"/>
      <c r="E29" s="30" t="s">
        <v>0</v>
      </c>
      <c r="F29" s="89">
        <f>D14 - SUM(詳細!F31:AL31)</f>
        <v>125</v>
      </c>
      <c r="G29" s="114" t="e">
        <f>SUM(G20:G28)</f>
        <v>#N/A</v>
      </c>
      <c r="H29" s="116">
        <f>LOOKUP(10^17,RIGHT(J13,COLUMN(1:1))*1)</f>
        <v>56</v>
      </c>
      <c r="I29" s="41"/>
      <c r="K29" s="52"/>
      <c r="L29" s="110" t="str">
        <f>詳細!$B9</f>
        <v>宮本梓</v>
      </c>
      <c r="M29" s="109"/>
      <c r="N29" s="69">
        <f>詳細!$D9</f>
        <v>46</v>
      </c>
      <c r="O29" s="72">
        <f>詳細!E9</f>
        <v>0</v>
      </c>
    </row>
    <row r="30" spans="1:21" s="33" customFormat="1">
      <c r="A30" s="166"/>
      <c r="B30" s="43"/>
      <c r="D30" s="1"/>
      <c r="E30" s="30"/>
      <c r="F30" s="139" t="s">
        <v>159</v>
      </c>
      <c r="G30" s="39"/>
      <c r="H30" s="140" t="s">
        <v>160</v>
      </c>
      <c r="I30" s="41"/>
      <c r="L30" s="110" t="str">
        <f>詳細!$B10</f>
        <v>津久井理恵</v>
      </c>
      <c r="M30" s="109"/>
      <c r="N30" s="69">
        <f>詳細!$D10</f>
        <v>38</v>
      </c>
      <c r="O30" s="72">
        <f>詳細!E10</f>
        <v>0</v>
      </c>
    </row>
    <row r="31" spans="1:21" s="33" customFormat="1">
      <c r="A31" s="166"/>
      <c r="B31" s="43"/>
      <c r="H31" s="41"/>
      <c r="I31" s="41"/>
      <c r="L31" s="110" t="str">
        <f>詳細!$B11</f>
        <v>相田末歩</v>
      </c>
      <c r="M31" s="109"/>
      <c r="N31" s="69">
        <f>詳細!$D11</f>
        <v>16</v>
      </c>
      <c r="O31" s="72">
        <f>詳細!E11</f>
        <v>0</v>
      </c>
    </row>
    <row r="32" spans="1:21" s="33" customFormat="1" ht="18.75" customHeight="1">
      <c r="A32" s="166"/>
      <c r="H32" s="41"/>
      <c r="I32" s="41"/>
      <c r="J32" s="1"/>
      <c r="L32" s="110" t="str">
        <f>詳細!$B12</f>
        <v>竹渕加奈</v>
      </c>
      <c r="M32" s="109"/>
      <c r="N32" s="69">
        <f>詳細!$D12</f>
        <v>52</v>
      </c>
      <c r="O32" s="72">
        <f>詳細!E12</f>
        <v>6</v>
      </c>
    </row>
    <row r="33" spans="1:16">
      <c r="A33" s="40"/>
      <c r="B33" s="157">
        <v>0.75</v>
      </c>
      <c r="C33" s="157">
        <v>0.79166666666666663</v>
      </c>
      <c r="D33" s="157">
        <v>0.83333333333333337</v>
      </c>
      <c r="E33" s="157">
        <v>0.875</v>
      </c>
      <c r="F33" s="158">
        <v>0.91666666666666663</v>
      </c>
      <c r="G33" s="157">
        <v>0.95833333333333337</v>
      </c>
      <c r="H33" s="159">
        <v>1</v>
      </c>
      <c r="I33" s="5"/>
      <c r="L33" s="110" t="str">
        <f>詳細!$B13</f>
        <v>横田正則</v>
      </c>
      <c r="M33" s="109"/>
      <c r="N33" s="69">
        <f>詳細!$D13</f>
        <v>21</v>
      </c>
      <c r="O33" s="72">
        <f>詳細!E13</f>
        <v>4</v>
      </c>
    </row>
    <row r="34" spans="1:16">
      <c r="A34" s="40"/>
      <c r="B34" s="160"/>
      <c r="C34" s="161"/>
      <c r="D34" s="5">
        <v>12</v>
      </c>
      <c r="E34" s="162">
        <v>12</v>
      </c>
      <c r="F34" s="5">
        <v>8</v>
      </c>
      <c r="G34" s="5">
        <v>8</v>
      </c>
      <c r="H34" s="5"/>
      <c r="I34" s="5" t="s">
        <v>162</v>
      </c>
      <c r="L34" s="110" t="str">
        <f>詳細!$B14</f>
        <v>関根裕美</v>
      </c>
      <c r="M34" s="109"/>
      <c r="N34" s="69">
        <f>詳細!$D14</f>
        <v>34</v>
      </c>
      <c r="O34" s="72">
        <f>詳細!E14</f>
        <v>0</v>
      </c>
      <c r="P34" s="26"/>
    </row>
    <row r="35" spans="1:16">
      <c r="B35" s="5"/>
      <c r="C35" s="161"/>
      <c r="D35" s="5">
        <v>499</v>
      </c>
      <c r="E35" s="5">
        <v>514</v>
      </c>
      <c r="F35" s="5">
        <v>524</v>
      </c>
      <c r="G35" s="5">
        <v>532</v>
      </c>
      <c r="H35" s="5">
        <v>540</v>
      </c>
      <c r="I35" s="5" t="s">
        <v>163</v>
      </c>
      <c r="L35" s="110" t="str">
        <f>詳細!$B15</f>
        <v>五十嵐健太</v>
      </c>
      <c r="M35" s="109"/>
      <c r="N35" s="69">
        <f>詳細!$D15</f>
        <v>17</v>
      </c>
      <c r="O35" s="72">
        <f>詳細!E15</f>
        <v>7</v>
      </c>
      <c r="P35" s="26"/>
    </row>
    <row r="36" spans="1:16">
      <c r="B36" s="5"/>
      <c r="C36" s="5"/>
      <c r="D36" s="5">
        <f>SUM(D34:D35)</f>
        <v>511</v>
      </c>
      <c r="E36" s="5">
        <f>SUM(E34:E35)</f>
        <v>526</v>
      </c>
      <c r="F36" s="5">
        <f>SUM(F34:F35)</f>
        <v>532</v>
      </c>
      <c r="G36" s="5">
        <f>SUM(G34:G35)</f>
        <v>540</v>
      </c>
      <c r="H36" s="5"/>
      <c r="I36" s="5"/>
      <c r="L36" s="110" t="str">
        <f>詳細!$B16</f>
        <v>荒井勇紀</v>
      </c>
      <c r="M36" s="109"/>
      <c r="N36" s="69">
        <f>詳細!$D16</f>
        <v>2</v>
      </c>
      <c r="O36" s="72">
        <f>詳細!E16</f>
        <v>0</v>
      </c>
      <c r="P36" s="26"/>
    </row>
    <row r="37" spans="1:16">
      <c r="B37" s="5"/>
      <c r="C37" s="5"/>
      <c r="D37" s="5">
        <v>12</v>
      </c>
      <c r="E37" s="162">
        <v>12</v>
      </c>
      <c r="F37" s="5">
        <v>8</v>
      </c>
      <c r="G37" s="5">
        <v>8</v>
      </c>
      <c r="H37" s="5"/>
      <c r="I37" s="5" t="s">
        <v>162</v>
      </c>
      <c r="L37" s="110" t="str">
        <f>詳細!$B17</f>
        <v>長島衣織</v>
      </c>
      <c r="M37" s="109"/>
      <c r="N37" s="69">
        <f>詳細!$D17</f>
        <v>79</v>
      </c>
      <c r="O37" s="72">
        <f>詳細!E17</f>
        <v>0</v>
      </c>
      <c r="P37" s="26"/>
    </row>
    <row r="38" spans="1:16">
      <c r="B38" s="5"/>
      <c r="C38" s="5"/>
      <c r="D38" s="5">
        <v>515</v>
      </c>
      <c r="E38" s="5">
        <v>527</v>
      </c>
      <c r="F38" s="5">
        <v>539</v>
      </c>
      <c r="G38" s="5">
        <v>548</v>
      </c>
      <c r="H38" s="5"/>
      <c r="I38" s="5" t="s">
        <v>163</v>
      </c>
      <c r="L38" s="110" t="str">
        <f>詳細!$B18</f>
        <v>稲元菜々</v>
      </c>
      <c r="M38" s="109"/>
      <c r="N38" s="69">
        <f>詳細!$D18</f>
        <v>26</v>
      </c>
      <c r="O38" s="72">
        <f>詳細!E18</f>
        <v>0</v>
      </c>
      <c r="P38" s="26"/>
    </row>
    <row r="39" spans="1:16">
      <c r="B39" s="5"/>
      <c r="C39" s="5"/>
      <c r="D39" s="5">
        <v>527</v>
      </c>
      <c r="E39" s="5">
        <v>539</v>
      </c>
      <c r="F39" s="5">
        <v>548</v>
      </c>
      <c r="G39" s="5">
        <v>554</v>
      </c>
      <c r="H39" s="5"/>
      <c r="I39" s="5"/>
      <c r="L39" s="110">
        <f>詳細!$B19</f>
        <v>0</v>
      </c>
      <c r="M39" s="109"/>
      <c r="N39" s="69">
        <f>詳細!$D19</f>
        <v>0</v>
      </c>
      <c r="O39" s="72">
        <f>詳細!E19</f>
        <v>0</v>
      </c>
    </row>
    <row r="40" spans="1:16">
      <c r="B40" s="33"/>
      <c r="I40" s="33"/>
      <c r="L40" s="110">
        <f>詳細!$B20</f>
        <v>0</v>
      </c>
      <c r="M40" s="111"/>
      <c r="N40" s="69">
        <f>詳細!$D20</f>
        <v>0</v>
      </c>
      <c r="O40" s="72">
        <f>詳細!E20</f>
        <v>0</v>
      </c>
    </row>
    <row r="41" spans="1:16">
      <c r="B41" s="33"/>
      <c r="H41" s="33"/>
      <c r="I41" s="33"/>
      <c r="L41" s="110">
        <f>詳細!$B21</f>
        <v>0</v>
      </c>
      <c r="M41" s="111"/>
      <c r="N41" s="69">
        <f>詳細!$D21</f>
        <v>0</v>
      </c>
      <c r="O41" s="72">
        <f>詳細!E21</f>
        <v>0</v>
      </c>
    </row>
    <row r="42" spans="1:16">
      <c r="B42" s="33"/>
      <c r="C42" s="33"/>
      <c r="D42" s="33"/>
      <c r="E42" s="33"/>
      <c r="F42" s="33"/>
      <c r="G42" s="33"/>
      <c r="H42" s="33"/>
      <c r="I42" s="33"/>
      <c r="L42" s="110">
        <f>詳細!$B22</f>
        <v>0</v>
      </c>
      <c r="M42" s="111"/>
      <c r="N42" s="69">
        <f>詳細!$D22</f>
        <v>0</v>
      </c>
      <c r="O42" s="72">
        <f>詳細!E22</f>
        <v>0</v>
      </c>
    </row>
    <row r="43" spans="1:16" ht="16.5" thickBot="1">
      <c r="C43" s="33"/>
      <c r="D43" s="33"/>
      <c r="E43" s="33"/>
      <c r="F43" s="33"/>
      <c r="G43" s="33"/>
      <c r="H43" s="33"/>
      <c r="L43" s="110">
        <f>詳細!$B23</f>
        <v>0</v>
      </c>
      <c r="M43" s="112"/>
      <c r="N43" s="69">
        <f>詳細!$D23</f>
        <v>0</v>
      </c>
      <c r="O43" s="72">
        <f>詳細!E23</f>
        <v>0</v>
      </c>
    </row>
    <row r="44" spans="1:16" ht="16.5" customHeight="1" thickBot="1">
      <c r="C44" s="33"/>
      <c r="D44" s="33"/>
      <c r="E44" s="33"/>
      <c r="F44" s="33"/>
      <c r="G44" s="33"/>
      <c r="L44" s="185" t="s">
        <v>0</v>
      </c>
      <c r="M44" s="186"/>
      <c r="N44" s="12">
        <f>SUM(N25:N43)</f>
        <v>466</v>
      </c>
      <c r="O44" s="12">
        <f>SUM(O25:O43)</f>
        <v>28</v>
      </c>
    </row>
    <row r="45" spans="1:16">
      <c r="L45" s="187"/>
      <c r="M45" s="188"/>
      <c r="N45" s="183">
        <f>SUM(N44:O44)</f>
        <v>494</v>
      </c>
      <c r="O45" s="184"/>
    </row>
  </sheetData>
  <mergeCells count="18">
    <mergeCell ref="G4:H4"/>
    <mergeCell ref="I4:J4"/>
    <mergeCell ref="L23:M24"/>
    <mergeCell ref="N23:O23"/>
    <mergeCell ref="B4:B5"/>
    <mergeCell ref="C4:C5"/>
    <mergeCell ref="D4:D5"/>
    <mergeCell ref="E4:E5"/>
    <mergeCell ref="F4:F5"/>
    <mergeCell ref="P12:Q13"/>
    <mergeCell ref="N45:O45"/>
    <mergeCell ref="L44:M45"/>
    <mergeCell ref="E12:F12"/>
    <mergeCell ref="H12:I12"/>
    <mergeCell ref="M12:N12"/>
    <mergeCell ref="M13:N13"/>
    <mergeCell ref="L12:L14"/>
    <mergeCell ref="O12:O14"/>
  </mergeCells>
  <phoneticPr fontId="2"/>
  <conditionalFormatting sqref="O25:O43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{14B81E39-4252-4431-934A-E1C0DD2580ED}</x14:id>
        </ext>
      </extLst>
    </cfRule>
    <cfRule type="iconSet" priority="12">
      <iconSet iconSet="3Arrows">
        <cfvo type="percent" val="0"/>
        <cfvo type="percent" val="33"/>
        <cfvo type="percent" val="67"/>
      </iconSet>
    </cfRule>
    <cfRule type="aboveAverage" dxfId="4" priority="14"/>
    <cfRule type="aboveAverage" dxfId="3" priority="15"/>
    <cfRule type="aboveAverage" dxfId="2" priority="16"/>
  </conditionalFormatting>
  <conditionalFormatting sqref="O25:O43">
    <cfRule type="iconSet" priority="13">
      <iconSet iconSet="3Arrows">
        <cfvo type="percent" val="0"/>
        <cfvo type="percent" val="33"/>
        <cfvo type="percent" val="67"/>
      </iconSet>
    </cfRule>
  </conditionalFormatting>
  <conditionalFormatting sqref="N25:N43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{BAFDDC8B-63E4-4763-9000-817DECDBC254}</x14:id>
        </ext>
      </extLst>
    </cfRule>
    <cfRule type="iconSet" priority="4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N25:N4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{58DB4B80-FA0D-441D-B9E1-7DE99CF6EABC}</x14:id>
        </ext>
      </extLst>
    </cfRule>
  </conditionalFormatting>
  <pageMargins left="0.25" right="0.25" top="0.75" bottom="0.75" header="0.3" footer="0.3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15</xdr:col>
                    <xdr:colOff>19050</xdr:colOff>
                    <xdr:row>1</xdr:row>
                    <xdr:rowOff>28575</xdr:rowOff>
                  </from>
                  <to>
                    <xdr:col>15</xdr:col>
                    <xdr:colOff>704850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ule3.ボタン1_Click">
                <anchor moveWithCells="1" sizeWithCells="1">
                  <from>
                    <xdr:col>1</xdr:col>
                    <xdr:colOff>9525</xdr:colOff>
                    <xdr:row>48</xdr:row>
                    <xdr:rowOff>200025</xdr:rowOff>
                  </from>
                  <to>
                    <xdr:col>2</xdr:col>
                    <xdr:colOff>19050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B81E39-4252-4431-934A-E1C0DD2580E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O25:O43</xm:sqref>
        </x14:conditionalFormatting>
        <x14:conditionalFormatting xmlns:xm="http://schemas.microsoft.com/office/excel/2006/main">
          <x14:cfRule type="dataBar" id="{BAFDDC8B-63E4-4763-9000-817DECDBC25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N25:N43</xm:sqref>
        </x14:conditionalFormatting>
        <x14:conditionalFormatting xmlns:xm="http://schemas.microsoft.com/office/excel/2006/main">
          <x14:cfRule type="dataBar" id="{58DB4B80-FA0D-441D-B9E1-7DE99CF6EA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N25:N43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8BDFAF-9DFE-413F-A48F-6574A8851DF0}">
          <x14:formula1>
            <xm:f>IDデータ!$B$1:$B$28</xm:f>
          </x14:formula1>
          <xm:sqref>C21:C26 T23:T26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4E69-63BF-4BAB-9275-68792FDB262E}">
  <sheetPr codeName="Sheet4"/>
  <dimension ref="B1:BN33"/>
  <sheetViews>
    <sheetView zoomScaleNormal="100" workbookViewId="0">
      <selection activeCell="B19" sqref="B19"/>
    </sheetView>
  </sheetViews>
  <sheetFormatPr defaultColWidth="4.125" defaultRowHeight="19.5" customHeight="1"/>
  <cols>
    <col min="1" max="1" width="2" style="1" customWidth="1"/>
    <col min="2" max="3" width="5.625" style="1" customWidth="1"/>
    <col min="4" max="5" width="7.375" style="1" customWidth="1"/>
    <col min="6" max="6" width="5.5" style="1" customWidth="1"/>
    <col min="7" max="66" width="3.375" style="1" customWidth="1"/>
    <col min="67" max="16384" width="4.125" style="1"/>
  </cols>
  <sheetData>
    <row r="1" spans="2:66" ht="14.25" customHeight="1"/>
    <row r="2" spans="2:66" ht="16.5" thickBot="1">
      <c r="B2" s="1" t="s">
        <v>148</v>
      </c>
    </row>
    <row r="3" spans="2:66" ht="25.5" customHeight="1" thickTop="1" thickBot="1">
      <c r="B3" s="125"/>
      <c r="C3" s="126" t="s">
        <v>157</v>
      </c>
      <c r="D3" s="219" t="s">
        <v>139</v>
      </c>
      <c r="E3" s="219" t="s">
        <v>140</v>
      </c>
      <c r="F3" s="219" t="s">
        <v>158</v>
      </c>
      <c r="G3" s="215" t="s">
        <v>131</v>
      </c>
      <c r="H3" s="215"/>
      <c r="I3" s="215"/>
      <c r="J3" s="215"/>
      <c r="K3" s="215" t="s">
        <v>132</v>
      </c>
      <c r="L3" s="215"/>
      <c r="M3" s="215"/>
      <c r="N3" s="215"/>
      <c r="O3" s="215" t="s">
        <v>133</v>
      </c>
      <c r="P3" s="215"/>
      <c r="Q3" s="215"/>
      <c r="R3" s="215"/>
      <c r="S3" s="215" t="s">
        <v>147</v>
      </c>
      <c r="T3" s="215"/>
      <c r="U3" s="215"/>
      <c r="V3" s="215"/>
      <c r="W3" s="215" t="s">
        <v>134</v>
      </c>
      <c r="X3" s="215"/>
      <c r="Y3" s="215"/>
      <c r="Z3" s="215"/>
      <c r="AA3" s="215" t="s">
        <v>135</v>
      </c>
      <c r="AB3" s="215"/>
      <c r="AC3" s="215"/>
      <c r="AD3" s="215"/>
      <c r="AE3" s="215" t="s">
        <v>136</v>
      </c>
      <c r="AF3" s="215"/>
      <c r="AG3" s="215"/>
      <c r="AH3" s="215"/>
      <c r="AI3" s="215" t="s">
        <v>137</v>
      </c>
      <c r="AJ3" s="215"/>
      <c r="AK3" s="215"/>
      <c r="AL3" s="215"/>
      <c r="AM3" s="215" t="s">
        <v>138</v>
      </c>
      <c r="AN3" s="215"/>
      <c r="AO3" s="215"/>
      <c r="AP3" s="215"/>
      <c r="AQ3" s="215" t="s">
        <v>141</v>
      </c>
      <c r="AR3" s="215"/>
      <c r="AS3" s="215"/>
      <c r="AT3" s="215"/>
      <c r="AU3" s="215" t="s">
        <v>142</v>
      </c>
      <c r="AV3" s="215"/>
      <c r="AW3" s="215"/>
      <c r="AX3" s="215"/>
      <c r="AY3" s="215" t="s">
        <v>143</v>
      </c>
      <c r="AZ3" s="215"/>
      <c r="BA3" s="215"/>
      <c r="BB3" s="215"/>
      <c r="BC3" s="215" t="s">
        <v>144</v>
      </c>
      <c r="BD3" s="215"/>
      <c r="BE3" s="215"/>
      <c r="BF3" s="215"/>
      <c r="BG3" s="215" t="s">
        <v>145</v>
      </c>
      <c r="BH3" s="215"/>
      <c r="BI3" s="215"/>
      <c r="BJ3" s="215"/>
      <c r="BK3" s="215" t="s">
        <v>146</v>
      </c>
      <c r="BL3" s="215"/>
      <c r="BM3" s="215"/>
      <c r="BN3" s="216"/>
    </row>
    <row r="4" spans="2:66" s="131" customFormat="1" ht="25.5" customHeight="1" thickTop="1" thickBot="1">
      <c r="B4" s="127" t="s">
        <v>156</v>
      </c>
      <c r="C4" s="128"/>
      <c r="D4" s="220"/>
      <c r="E4" s="220"/>
      <c r="F4" s="220"/>
      <c r="G4" s="129" t="s">
        <v>152</v>
      </c>
      <c r="H4" s="129" t="s">
        <v>150</v>
      </c>
      <c r="I4" s="129" t="s">
        <v>151</v>
      </c>
      <c r="J4" s="129" t="s">
        <v>155</v>
      </c>
      <c r="K4" s="129" t="s">
        <v>152</v>
      </c>
      <c r="L4" s="129" t="s">
        <v>150</v>
      </c>
      <c r="M4" s="129" t="s">
        <v>151</v>
      </c>
      <c r="N4" s="129" t="s">
        <v>155</v>
      </c>
      <c r="O4" s="129" t="s">
        <v>152</v>
      </c>
      <c r="P4" s="129" t="s">
        <v>150</v>
      </c>
      <c r="Q4" s="129" t="s">
        <v>151</v>
      </c>
      <c r="R4" s="129" t="s">
        <v>155</v>
      </c>
      <c r="S4" s="129" t="s">
        <v>152</v>
      </c>
      <c r="T4" s="129" t="s">
        <v>150</v>
      </c>
      <c r="U4" s="129" t="s">
        <v>151</v>
      </c>
      <c r="V4" s="129" t="s">
        <v>155</v>
      </c>
      <c r="W4" s="129" t="s">
        <v>152</v>
      </c>
      <c r="X4" s="129" t="s">
        <v>150</v>
      </c>
      <c r="Y4" s="129" t="s">
        <v>151</v>
      </c>
      <c r="Z4" s="129" t="s">
        <v>155</v>
      </c>
      <c r="AA4" s="129" t="s">
        <v>152</v>
      </c>
      <c r="AB4" s="129" t="s">
        <v>150</v>
      </c>
      <c r="AC4" s="129" t="s">
        <v>151</v>
      </c>
      <c r="AD4" s="129" t="s">
        <v>155</v>
      </c>
      <c r="AE4" s="129" t="s">
        <v>152</v>
      </c>
      <c r="AF4" s="129" t="s">
        <v>150</v>
      </c>
      <c r="AG4" s="129" t="s">
        <v>151</v>
      </c>
      <c r="AH4" s="129" t="s">
        <v>155</v>
      </c>
      <c r="AI4" s="129" t="s">
        <v>152</v>
      </c>
      <c r="AJ4" s="129" t="s">
        <v>150</v>
      </c>
      <c r="AK4" s="129" t="s">
        <v>151</v>
      </c>
      <c r="AL4" s="129" t="s">
        <v>155</v>
      </c>
      <c r="AM4" s="129" t="s">
        <v>152</v>
      </c>
      <c r="AN4" s="129" t="s">
        <v>150</v>
      </c>
      <c r="AO4" s="129" t="s">
        <v>151</v>
      </c>
      <c r="AP4" s="129" t="s">
        <v>155</v>
      </c>
      <c r="AQ4" s="129" t="s">
        <v>152</v>
      </c>
      <c r="AR4" s="129" t="s">
        <v>150</v>
      </c>
      <c r="AS4" s="129" t="s">
        <v>151</v>
      </c>
      <c r="AT4" s="129" t="s">
        <v>155</v>
      </c>
      <c r="AU4" s="129" t="s">
        <v>152</v>
      </c>
      <c r="AV4" s="129" t="s">
        <v>150</v>
      </c>
      <c r="AW4" s="129" t="s">
        <v>151</v>
      </c>
      <c r="AX4" s="129" t="s">
        <v>155</v>
      </c>
      <c r="AY4" s="129" t="s">
        <v>152</v>
      </c>
      <c r="AZ4" s="129" t="s">
        <v>150</v>
      </c>
      <c r="BA4" s="129" t="s">
        <v>151</v>
      </c>
      <c r="BB4" s="129" t="s">
        <v>155</v>
      </c>
      <c r="BC4" s="129" t="s">
        <v>152</v>
      </c>
      <c r="BD4" s="129" t="s">
        <v>150</v>
      </c>
      <c r="BE4" s="129" t="s">
        <v>151</v>
      </c>
      <c r="BF4" s="129" t="s">
        <v>155</v>
      </c>
      <c r="BG4" s="129" t="s">
        <v>152</v>
      </c>
      <c r="BH4" s="129" t="s">
        <v>150</v>
      </c>
      <c r="BI4" s="129" t="s">
        <v>151</v>
      </c>
      <c r="BJ4" s="129" t="s">
        <v>155</v>
      </c>
      <c r="BK4" s="129" t="s">
        <v>152</v>
      </c>
      <c r="BL4" s="129" t="s">
        <v>150</v>
      </c>
      <c r="BM4" s="129" t="s">
        <v>151</v>
      </c>
      <c r="BN4" s="130" t="s">
        <v>155</v>
      </c>
    </row>
    <row r="5" spans="2:66" ht="19.5" customHeight="1" thickTop="1" thickBot="1">
      <c r="B5" s="136" t="s">
        <v>161</v>
      </c>
      <c r="C5" s="137"/>
      <c r="D5" s="117">
        <f>SUM(F5:AP5)</f>
        <v>66</v>
      </c>
      <c r="E5" s="118">
        <f>SUM(AQ5:BN5)</f>
        <v>4</v>
      </c>
      <c r="F5" s="119"/>
      <c r="G5" s="120">
        <v>6</v>
      </c>
      <c r="H5" s="120">
        <v>3</v>
      </c>
      <c r="I5" s="120">
        <v>5</v>
      </c>
      <c r="J5" s="120">
        <v>3</v>
      </c>
      <c r="K5" s="121">
        <v>3</v>
      </c>
      <c r="L5" s="121">
        <v>4</v>
      </c>
      <c r="M5" s="121">
        <v>4</v>
      </c>
      <c r="N5" s="121">
        <v>0</v>
      </c>
      <c r="O5" s="120">
        <v>1</v>
      </c>
      <c r="P5" s="120">
        <v>1</v>
      </c>
      <c r="Q5" s="120">
        <v>1</v>
      </c>
      <c r="R5" s="120">
        <v>1</v>
      </c>
      <c r="S5" s="121">
        <v>2</v>
      </c>
      <c r="T5" s="121">
        <v>3</v>
      </c>
      <c r="U5" s="121">
        <v>0</v>
      </c>
      <c r="V5" s="121">
        <v>0</v>
      </c>
      <c r="W5" s="120">
        <v>1</v>
      </c>
      <c r="X5" s="120">
        <v>0</v>
      </c>
      <c r="Y5" s="120">
        <v>1</v>
      </c>
      <c r="Z5" s="120">
        <v>0</v>
      </c>
      <c r="AA5" s="121">
        <v>0</v>
      </c>
      <c r="AB5" s="121">
        <v>0</v>
      </c>
      <c r="AC5" s="121">
        <v>0</v>
      </c>
      <c r="AD5" s="121">
        <v>1</v>
      </c>
      <c r="AE5" s="120">
        <v>2</v>
      </c>
      <c r="AF5" s="120">
        <v>1</v>
      </c>
      <c r="AG5" s="120">
        <v>2</v>
      </c>
      <c r="AH5" s="120">
        <v>3</v>
      </c>
      <c r="AI5" s="121">
        <v>2</v>
      </c>
      <c r="AJ5" s="121">
        <v>1</v>
      </c>
      <c r="AK5" s="121">
        <v>3</v>
      </c>
      <c r="AL5" s="121">
        <v>1</v>
      </c>
      <c r="AM5" s="120">
        <v>1</v>
      </c>
      <c r="AN5" s="120">
        <v>4</v>
      </c>
      <c r="AO5" s="120">
        <v>3</v>
      </c>
      <c r="AP5" s="120">
        <v>3</v>
      </c>
      <c r="AQ5" s="121">
        <v>1</v>
      </c>
      <c r="AR5" s="121">
        <v>1</v>
      </c>
      <c r="AS5" s="121">
        <v>2</v>
      </c>
      <c r="AT5" s="121">
        <v>0</v>
      </c>
      <c r="AU5" s="120"/>
      <c r="AV5" s="120"/>
      <c r="AW5" s="120"/>
      <c r="AX5" s="120"/>
      <c r="AY5" s="121"/>
      <c r="AZ5" s="121"/>
      <c r="BA5" s="121"/>
      <c r="BB5" s="121"/>
      <c r="BC5" s="120"/>
      <c r="BD5" s="120"/>
      <c r="BE5" s="120"/>
      <c r="BF5" s="120"/>
      <c r="BG5" s="121"/>
      <c r="BH5" s="121"/>
      <c r="BI5" s="121"/>
      <c r="BJ5" s="121"/>
      <c r="BK5" s="120"/>
      <c r="BL5" s="120"/>
      <c r="BM5" s="120"/>
      <c r="BN5" s="122"/>
    </row>
    <row r="6" spans="2:66" ht="19.5" customHeight="1" thickTop="1" thickBot="1">
      <c r="B6" s="136" t="s">
        <v>182</v>
      </c>
      <c r="C6" s="137"/>
      <c r="D6" s="117">
        <f t="shared" ref="D6:D30" si="0">SUM(F6:AP6)</f>
        <v>18</v>
      </c>
      <c r="E6" s="118">
        <f t="shared" ref="E6:E30" si="1">SUM(AQ6:BN6)</f>
        <v>0</v>
      </c>
      <c r="F6" s="119">
        <v>18</v>
      </c>
      <c r="G6" s="120"/>
      <c r="H6" s="120"/>
      <c r="I6" s="120"/>
      <c r="J6" s="120"/>
      <c r="K6" s="121"/>
      <c r="L6" s="121"/>
      <c r="M6" s="121"/>
      <c r="N6" s="121"/>
      <c r="O6" s="120"/>
      <c r="P6" s="120"/>
      <c r="Q6" s="120"/>
      <c r="R6" s="120"/>
      <c r="S6" s="121"/>
      <c r="T6" s="121"/>
      <c r="U6" s="121"/>
      <c r="V6" s="121"/>
      <c r="W6" s="120"/>
      <c r="X6" s="120"/>
      <c r="Y6" s="120"/>
      <c r="Z6" s="120"/>
      <c r="AA6" s="121"/>
      <c r="AB6" s="121"/>
      <c r="AC6" s="121"/>
      <c r="AD6" s="121"/>
      <c r="AE6" s="120"/>
      <c r="AF6" s="120"/>
      <c r="AG6" s="120"/>
      <c r="AH6" s="120"/>
      <c r="AI6" s="121"/>
      <c r="AJ6" s="121"/>
      <c r="AK6" s="121"/>
      <c r="AL6" s="121"/>
      <c r="AM6" s="120"/>
      <c r="AN6" s="120"/>
      <c r="AO6" s="120"/>
      <c r="AP6" s="120"/>
      <c r="AQ6" s="121"/>
      <c r="AR6" s="121"/>
      <c r="AS6" s="121"/>
      <c r="AT6" s="121"/>
      <c r="AU6" s="120"/>
      <c r="AV6" s="120"/>
      <c r="AW6" s="120"/>
      <c r="AX6" s="120"/>
      <c r="AY6" s="121"/>
      <c r="AZ6" s="121"/>
      <c r="BA6" s="121"/>
      <c r="BB6" s="121"/>
      <c r="BC6" s="120"/>
      <c r="BD6" s="120"/>
      <c r="BE6" s="120"/>
      <c r="BF6" s="120"/>
      <c r="BG6" s="121"/>
      <c r="BH6" s="121"/>
      <c r="BI6" s="121"/>
      <c r="BJ6" s="121"/>
      <c r="BK6" s="120"/>
      <c r="BL6" s="120"/>
      <c r="BM6" s="120"/>
      <c r="BN6" s="122"/>
    </row>
    <row r="7" spans="2:66" ht="19.5" customHeight="1" thickTop="1" thickBot="1">
      <c r="B7" s="136" t="s">
        <v>186</v>
      </c>
      <c r="C7" s="137"/>
      <c r="D7" s="117">
        <f t="shared" si="0"/>
        <v>23</v>
      </c>
      <c r="E7" s="118">
        <f t="shared" si="1"/>
        <v>7</v>
      </c>
      <c r="F7" s="119"/>
      <c r="G7" s="120"/>
      <c r="H7" s="120"/>
      <c r="I7" s="120"/>
      <c r="J7" s="120"/>
      <c r="K7" s="121"/>
      <c r="L7" s="121"/>
      <c r="M7" s="121"/>
      <c r="N7" s="121"/>
      <c r="O7" s="120"/>
      <c r="P7" s="120"/>
      <c r="Q7" s="120"/>
      <c r="R7" s="120"/>
      <c r="S7" s="121"/>
      <c r="T7" s="121"/>
      <c r="U7" s="121"/>
      <c r="V7" s="121"/>
      <c r="W7" s="120"/>
      <c r="X7" s="120"/>
      <c r="Y7" s="120"/>
      <c r="Z7" s="120"/>
      <c r="AA7" s="121">
        <v>2</v>
      </c>
      <c r="AB7" s="121">
        <v>1</v>
      </c>
      <c r="AC7" s="121">
        <v>2</v>
      </c>
      <c r="AD7" s="121">
        <v>2</v>
      </c>
      <c r="AE7" s="120">
        <v>2</v>
      </c>
      <c r="AF7" s="120">
        <v>1</v>
      </c>
      <c r="AG7" s="120">
        <v>2</v>
      </c>
      <c r="AH7" s="120">
        <v>3</v>
      </c>
      <c r="AI7" s="121"/>
      <c r="AJ7" s="121"/>
      <c r="AK7" s="121"/>
      <c r="AL7" s="121"/>
      <c r="AM7" s="120">
        <v>0</v>
      </c>
      <c r="AN7" s="120">
        <v>3</v>
      </c>
      <c r="AO7" s="120">
        <v>2</v>
      </c>
      <c r="AP7" s="120">
        <v>3</v>
      </c>
      <c r="AQ7" s="121">
        <v>3</v>
      </c>
      <c r="AR7" s="121">
        <v>3</v>
      </c>
      <c r="AS7" s="121">
        <v>0</v>
      </c>
      <c r="AT7" s="121">
        <v>1</v>
      </c>
      <c r="AU7" s="120"/>
      <c r="AV7" s="120"/>
      <c r="AW7" s="120"/>
      <c r="AX7" s="120"/>
      <c r="AY7" s="121"/>
      <c r="AZ7" s="121"/>
      <c r="BA7" s="121"/>
      <c r="BB7" s="121"/>
      <c r="BC7" s="120"/>
      <c r="BD7" s="120"/>
      <c r="BE7" s="120"/>
      <c r="BF7" s="120"/>
      <c r="BG7" s="121"/>
      <c r="BH7" s="121"/>
      <c r="BI7" s="121"/>
      <c r="BJ7" s="121"/>
      <c r="BK7" s="120"/>
      <c r="BL7" s="120"/>
      <c r="BM7" s="120"/>
      <c r="BN7" s="122"/>
    </row>
    <row r="8" spans="2:66" ht="19.5" customHeight="1" thickTop="1" thickBot="1">
      <c r="B8" s="136" t="s">
        <v>184</v>
      </c>
      <c r="C8" s="137"/>
      <c r="D8" s="117">
        <f t="shared" si="0"/>
        <v>28</v>
      </c>
      <c r="E8" s="118">
        <f t="shared" si="1"/>
        <v>0</v>
      </c>
      <c r="F8" s="119"/>
      <c r="G8" s="120">
        <v>0</v>
      </c>
      <c r="H8" s="120">
        <v>0</v>
      </c>
      <c r="I8" s="120">
        <v>0</v>
      </c>
      <c r="J8" s="120">
        <v>1</v>
      </c>
      <c r="K8" s="121">
        <v>1</v>
      </c>
      <c r="L8" s="121">
        <v>2</v>
      </c>
      <c r="M8" s="121">
        <v>2</v>
      </c>
      <c r="N8" s="121">
        <v>1</v>
      </c>
      <c r="O8" s="120">
        <v>2</v>
      </c>
      <c r="P8" s="120">
        <v>2</v>
      </c>
      <c r="Q8" s="120">
        <v>4</v>
      </c>
      <c r="R8" s="120">
        <v>2</v>
      </c>
      <c r="S8" s="121">
        <v>2</v>
      </c>
      <c r="T8" s="121">
        <v>2</v>
      </c>
      <c r="U8" s="121">
        <v>0</v>
      </c>
      <c r="V8" s="121">
        <v>1</v>
      </c>
      <c r="W8" s="120">
        <v>2</v>
      </c>
      <c r="X8" s="120">
        <v>1</v>
      </c>
      <c r="Y8" s="120">
        <v>1</v>
      </c>
      <c r="Z8" s="120">
        <v>2</v>
      </c>
      <c r="AA8" s="121"/>
      <c r="AB8" s="121"/>
      <c r="AC8" s="121"/>
      <c r="AD8" s="121"/>
      <c r="AE8" s="120"/>
      <c r="AF8" s="120"/>
      <c r="AG8" s="120"/>
      <c r="AH8" s="120"/>
      <c r="AI8" s="121"/>
      <c r="AJ8" s="121"/>
      <c r="AK8" s="121"/>
      <c r="AL8" s="121"/>
      <c r="AM8" s="120"/>
      <c r="AN8" s="120"/>
      <c r="AO8" s="120"/>
      <c r="AP8" s="120"/>
      <c r="AQ8" s="121"/>
      <c r="AR8" s="121"/>
      <c r="AS8" s="121"/>
      <c r="AT8" s="121"/>
      <c r="AU8" s="120"/>
      <c r="AV8" s="120"/>
      <c r="AW8" s="120"/>
      <c r="AX8" s="120"/>
      <c r="AY8" s="121"/>
      <c r="AZ8" s="121"/>
      <c r="BA8" s="121"/>
      <c r="BB8" s="121"/>
      <c r="BC8" s="120"/>
      <c r="BD8" s="120"/>
      <c r="BE8" s="120"/>
      <c r="BF8" s="120"/>
      <c r="BG8" s="121"/>
      <c r="BH8" s="121"/>
      <c r="BI8" s="121"/>
      <c r="BJ8" s="121"/>
      <c r="BK8" s="120"/>
      <c r="BL8" s="120"/>
      <c r="BM8" s="120"/>
      <c r="BN8" s="122"/>
    </row>
    <row r="9" spans="2:66" ht="19.5" customHeight="1" thickTop="1" thickBot="1">
      <c r="B9" s="136" t="s">
        <v>183</v>
      </c>
      <c r="C9" s="137"/>
      <c r="D9" s="117">
        <f t="shared" si="0"/>
        <v>46</v>
      </c>
      <c r="E9" s="118">
        <f t="shared" si="1"/>
        <v>0</v>
      </c>
      <c r="F9" s="119"/>
      <c r="G9" s="120">
        <v>2</v>
      </c>
      <c r="H9" s="120">
        <v>4</v>
      </c>
      <c r="I9" s="120">
        <v>3</v>
      </c>
      <c r="J9" s="120">
        <v>1</v>
      </c>
      <c r="K9" s="121">
        <v>2</v>
      </c>
      <c r="L9" s="121">
        <v>2</v>
      </c>
      <c r="M9" s="121">
        <v>2</v>
      </c>
      <c r="N9" s="121">
        <v>1</v>
      </c>
      <c r="O9" s="120">
        <v>1</v>
      </c>
      <c r="P9" s="120">
        <v>2</v>
      </c>
      <c r="Q9" s="120">
        <v>2</v>
      </c>
      <c r="R9" s="120">
        <v>1</v>
      </c>
      <c r="S9" s="121">
        <v>4</v>
      </c>
      <c r="T9" s="121">
        <v>3</v>
      </c>
      <c r="U9" s="121">
        <v>0</v>
      </c>
      <c r="V9" s="121">
        <v>1</v>
      </c>
      <c r="W9" s="120"/>
      <c r="X9" s="120"/>
      <c r="Y9" s="120"/>
      <c r="Z9" s="120"/>
      <c r="AA9" s="121">
        <v>1</v>
      </c>
      <c r="AB9" s="121">
        <v>1</v>
      </c>
      <c r="AC9" s="121">
        <v>1</v>
      </c>
      <c r="AD9" s="121">
        <v>1</v>
      </c>
      <c r="AE9" s="120">
        <v>3</v>
      </c>
      <c r="AF9" s="120">
        <v>0</v>
      </c>
      <c r="AG9" s="120">
        <v>0</v>
      </c>
      <c r="AH9" s="120">
        <v>2</v>
      </c>
      <c r="AI9" s="121">
        <v>2</v>
      </c>
      <c r="AJ9" s="121">
        <v>0</v>
      </c>
      <c r="AK9" s="121">
        <v>2</v>
      </c>
      <c r="AL9" s="121">
        <v>2</v>
      </c>
      <c r="AM9" s="120"/>
      <c r="AN9" s="120"/>
      <c r="AO9" s="120"/>
      <c r="AP9" s="120"/>
      <c r="AQ9" s="121"/>
      <c r="AR9" s="121"/>
      <c r="AS9" s="121"/>
      <c r="AT9" s="121"/>
      <c r="AU9" s="120"/>
      <c r="AV9" s="120"/>
      <c r="AW9" s="120"/>
      <c r="AX9" s="120"/>
      <c r="AY9" s="121"/>
      <c r="AZ9" s="121"/>
      <c r="BA9" s="121"/>
      <c r="BB9" s="121"/>
      <c r="BC9" s="120"/>
      <c r="BD9" s="120"/>
      <c r="BE9" s="120"/>
      <c r="BF9" s="120"/>
      <c r="BG9" s="121"/>
      <c r="BH9" s="121"/>
      <c r="BI9" s="121"/>
      <c r="BJ9" s="121"/>
      <c r="BK9" s="120"/>
      <c r="BL9" s="120"/>
      <c r="BM9" s="120"/>
      <c r="BN9" s="122"/>
    </row>
    <row r="10" spans="2:66" ht="19.5" customHeight="1" thickTop="1" thickBot="1">
      <c r="B10" s="136" t="s">
        <v>177</v>
      </c>
      <c r="C10" s="137"/>
      <c r="D10" s="117">
        <f t="shared" si="0"/>
        <v>38</v>
      </c>
      <c r="E10" s="118">
        <f>SUM(AQ10:BN10)</f>
        <v>0</v>
      </c>
      <c r="F10" s="119">
        <v>7</v>
      </c>
      <c r="G10" s="120">
        <v>2</v>
      </c>
      <c r="H10" s="120">
        <v>1</v>
      </c>
      <c r="I10" s="120">
        <v>1</v>
      </c>
      <c r="J10" s="120">
        <v>5</v>
      </c>
      <c r="K10" s="121">
        <v>3</v>
      </c>
      <c r="L10" s="121">
        <v>0</v>
      </c>
      <c r="M10" s="121">
        <v>2</v>
      </c>
      <c r="N10" s="121">
        <v>2</v>
      </c>
      <c r="O10" s="120">
        <v>1</v>
      </c>
      <c r="P10" s="120">
        <v>3</v>
      </c>
      <c r="Q10" s="120">
        <v>2</v>
      </c>
      <c r="R10" s="120">
        <v>1</v>
      </c>
      <c r="S10" s="121">
        <v>2</v>
      </c>
      <c r="T10" s="121">
        <v>0</v>
      </c>
      <c r="U10" s="121">
        <v>0</v>
      </c>
      <c r="V10" s="121">
        <v>0</v>
      </c>
      <c r="W10" s="120"/>
      <c r="X10" s="120"/>
      <c r="Y10" s="120"/>
      <c r="Z10" s="120"/>
      <c r="AA10" s="121"/>
      <c r="AB10" s="121"/>
      <c r="AC10" s="121"/>
      <c r="AD10" s="121"/>
      <c r="AE10" s="120"/>
      <c r="AF10" s="120"/>
      <c r="AG10" s="120"/>
      <c r="AH10" s="120"/>
      <c r="AI10" s="121">
        <v>0</v>
      </c>
      <c r="AJ10" s="121">
        <v>2</v>
      </c>
      <c r="AK10" s="121">
        <v>0</v>
      </c>
      <c r="AL10" s="121">
        <v>4</v>
      </c>
      <c r="AM10" s="120"/>
      <c r="AN10" s="120"/>
      <c r="AO10" s="120"/>
      <c r="AP10" s="120"/>
      <c r="AQ10" s="121"/>
      <c r="AR10" s="121"/>
      <c r="AS10" s="121"/>
      <c r="AT10" s="121"/>
      <c r="AU10" s="120"/>
      <c r="AV10" s="120"/>
      <c r="AW10" s="120"/>
      <c r="AX10" s="120"/>
      <c r="AY10" s="121"/>
      <c r="AZ10" s="121"/>
      <c r="BA10" s="121"/>
      <c r="BB10" s="121"/>
      <c r="BC10" s="120"/>
      <c r="BD10" s="120"/>
      <c r="BE10" s="120"/>
      <c r="BF10" s="120"/>
      <c r="BG10" s="121"/>
      <c r="BH10" s="121"/>
      <c r="BI10" s="121"/>
      <c r="BJ10" s="121"/>
      <c r="BK10" s="120"/>
      <c r="BL10" s="120"/>
      <c r="BM10" s="120"/>
      <c r="BN10" s="122"/>
    </row>
    <row r="11" spans="2:66" ht="19.5" customHeight="1" thickTop="1" thickBot="1">
      <c r="B11" s="136" t="s">
        <v>169</v>
      </c>
      <c r="C11" s="137"/>
      <c r="D11" s="117">
        <f t="shared" si="0"/>
        <v>16</v>
      </c>
      <c r="E11" s="118">
        <f t="shared" si="1"/>
        <v>0</v>
      </c>
      <c r="F11" s="119">
        <v>12</v>
      </c>
      <c r="G11" s="120">
        <v>1</v>
      </c>
      <c r="H11" s="120">
        <v>1</v>
      </c>
      <c r="I11" s="120">
        <v>0</v>
      </c>
      <c r="J11" s="120">
        <v>0</v>
      </c>
      <c r="K11" s="121">
        <v>0</v>
      </c>
      <c r="L11" s="121">
        <v>1</v>
      </c>
      <c r="M11" s="121">
        <v>0</v>
      </c>
      <c r="N11" s="121">
        <v>0</v>
      </c>
      <c r="O11" s="120">
        <v>0</v>
      </c>
      <c r="P11" s="120">
        <v>0</v>
      </c>
      <c r="Q11" s="120">
        <v>1</v>
      </c>
      <c r="R11" s="120">
        <v>0</v>
      </c>
      <c r="S11" s="121"/>
      <c r="T11" s="121"/>
      <c r="U11" s="121"/>
      <c r="V11" s="121"/>
      <c r="W11" s="120"/>
      <c r="X11" s="120"/>
      <c r="Y11" s="120"/>
      <c r="Z11" s="120"/>
      <c r="AA11" s="121"/>
      <c r="AB11" s="121"/>
      <c r="AC11" s="121"/>
      <c r="AD11" s="121"/>
      <c r="AE11" s="120"/>
      <c r="AF11" s="120"/>
      <c r="AG11" s="120"/>
      <c r="AH11" s="120"/>
      <c r="AI11" s="121"/>
      <c r="AJ11" s="121"/>
      <c r="AK11" s="121"/>
      <c r="AL11" s="121"/>
      <c r="AM11" s="120"/>
      <c r="AN11" s="120"/>
      <c r="AO11" s="120"/>
      <c r="AP11" s="120"/>
      <c r="AQ11" s="121"/>
      <c r="AR11" s="121"/>
      <c r="AS11" s="121"/>
      <c r="AT11" s="121"/>
      <c r="AU11" s="120"/>
      <c r="AV11" s="120"/>
      <c r="AW11" s="120"/>
      <c r="AX11" s="120"/>
      <c r="AY11" s="121"/>
      <c r="AZ11" s="121"/>
      <c r="BA11" s="121"/>
      <c r="BB11" s="121"/>
      <c r="BC11" s="120"/>
      <c r="BD11" s="120"/>
      <c r="BE11" s="120"/>
      <c r="BF11" s="120"/>
      <c r="BG11" s="121"/>
      <c r="BH11" s="121"/>
      <c r="BI11" s="121"/>
      <c r="BJ11" s="121"/>
      <c r="BK11" s="120"/>
      <c r="BL11" s="120"/>
      <c r="BM11" s="120"/>
      <c r="BN11" s="122"/>
    </row>
    <row r="12" spans="2:66" ht="19.5" customHeight="1" thickTop="1" thickBot="1">
      <c r="B12" s="136" t="s">
        <v>181</v>
      </c>
      <c r="C12" s="137"/>
      <c r="D12" s="117">
        <f t="shared" si="0"/>
        <v>52</v>
      </c>
      <c r="E12" s="118">
        <f>SUM(AQ12:BN12)</f>
        <v>6</v>
      </c>
      <c r="F12" s="119"/>
      <c r="G12" s="120"/>
      <c r="H12" s="120"/>
      <c r="I12" s="120"/>
      <c r="J12" s="120"/>
      <c r="K12" s="121"/>
      <c r="L12" s="121"/>
      <c r="M12" s="121"/>
      <c r="N12" s="121"/>
      <c r="O12" s="120">
        <v>2</v>
      </c>
      <c r="P12" s="120">
        <v>3</v>
      </c>
      <c r="Q12" s="120">
        <v>3</v>
      </c>
      <c r="R12" s="120">
        <v>4</v>
      </c>
      <c r="S12" s="121">
        <v>3</v>
      </c>
      <c r="T12" s="121">
        <v>2</v>
      </c>
      <c r="U12" s="121">
        <v>0</v>
      </c>
      <c r="V12" s="121">
        <v>3</v>
      </c>
      <c r="W12" s="120">
        <v>3</v>
      </c>
      <c r="X12" s="120">
        <v>2</v>
      </c>
      <c r="Y12" s="120">
        <v>0</v>
      </c>
      <c r="Z12" s="120">
        <v>2</v>
      </c>
      <c r="AA12" s="121"/>
      <c r="AB12" s="121"/>
      <c r="AC12" s="121"/>
      <c r="AD12" s="121"/>
      <c r="AE12" s="120">
        <v>0</v>
      </c>
      <c r="AF12" s="120">
        <v>0</v>
      </c>
      <c r="AG12" s="120">
        <v>0</v>
      </c>
      <c r="AH12" s="120">
        <v>5</v>
      </c>
      <c r="AI12" s="121">
        <v>2</v>
      </c>
      <c r="AJ12" s="121">
        <v>2</v>
      </c>
      <c r="AK12" s="121">
        <v>3</v>
      </c>
      <c r="AL12" s="121">
        <v>1</v>
      </c>
      <c r="AM12" s="120">
        <v>3</v>
      </c>
      <c r="AN12" s="120">
        <v>1</v>
      </c>
      <c r="AO12" s="120">
        <v>3</v>
      </c>
      <c r="AP12" s="120">
        <v>5</v>
      </c>
      <c r="AQ12" s="121">
        <v>1</v>
      </c>
      <c r="AR12" s="121">
        <v>3</v>
      </c>
      <c r="AS12" s="121">
        <v>2</v>
      </c>
      <c r="AT12" s="121">
        <v>0</v>
      </c>
      <c r="AU12" s="120"/>
      <c r="AV12" s="120"/>
      <c r="AW12" s="120"/>
      <c r="AX12" s="120"/>
      <c r="AY12" s="121"/>
      <c r="AZ12" s="121"/>
      <c r="BA12" s="121"/>
      <c r="BB12" s="121"/>
      <c r="BC12" s="120"/>
      <c r="BD12" s="120"/>
      <c r="BE12" s="120"/>
      <c r="BF12" s="120"/>
      <c r="BG12" s="121"/>
      <c r="BH12" s="121"/>
      <c r="BI12" s="121"/>
      <c r="BJ12" s="121"/>
      <c r="BK12" s="120"/>
      <c r="BL12" s="120"/>
      <c r="BM12" s="120"/>
      <c r="BN12" s="122"/>
    </row>
    <row r="13" spans="2:66" ht="19.5" customHeight="1" thickTop="1" thickBot="1">
      <c r="B13" s="136" t="s">
        <v>171</v>
      </c>
      <c r="C13" s="137"/>
      <c r="D13" s="117">
        <f t="shared" si="0"/>
        <v>21</v>
      </c>
      <c r="E13" s="118">
        <f t="shared" si="1"/>
        <v>4</v>
      </c>
      <c r="F13" s="119"/>
      <c r="G13" s="120"/>
      <c r="H13" s="120"/>
      <c r="I13" s="120"/>
      <c r="J13" s="120"/>
      <c r="K13" s="121"/>
      <c r="L13" s="121"/>
      <c r="M13" s="121"/>
      <c r="N13" s="121"/>
      <c r="O13" s="120"/>
      <c r="P13" s="120"/>
      <c r="Q13" s="120"/>
      <c r="R13" s="120"/>
      <c r="S13" s="121"/>
      <c r="T13" s="121"/>
      <c r="U13" s="121"/>
      <c r="V13" s="121"/>
      <c r="W13" s="120">
        <v>2</v>
      </c>
      <c r="X13" s="120">
        <v>2</v>
      </c>
      <c r="Y13" s="120">
        <v>0</v>
      </c>
      <c r="Z13" s="120">
        <v>3</v>
      </c>
      <c r="AA13" s="121">
        <v>1</v>
      </c>
      <c r="AB13" s="121">
        <v>2</v>
      </c>
      <c r="AC13" s="121">
        <v>1</v>
      </c>
      <c r="AD13" s="121">
        <v>1</v>
      </c>
      <c r="AE13" s="120"/>
      <c r="AF13" s="120"/>
      <c r="AG13" s="120"/>
      <c r="AH13" s="120"/>
      <c r="AI13" s="121">
        <v>2</v>
      </c>
      <c r="AJ13" s="121">
        <v>1</v>
      </c>
      <c r="AK13" s="121">
        <v>1</v>
      </c>
      <c r="AL13" s="121">
        <v>0</v>
      </c>
      <c r="AM13" s="120">
        <v>2</v>
      </c>
      <c r="AN13" s="120">
        <v>1</v>
      </c>
      <c r="AO13" s="120">
        <v>1</v>
      </c>
      <c r="AP13" s="120">
        <v>1</v>
      </c>
      <c r="AQ13" s="121">
        <v>1</v>
      </c>
      <c r="AR13" s="121">
        <v>2</v>
      </c>
      <c r="AS13" s="121">
        <v>1</v>
      </c>
      <c r="AT13" s="121">
        <v>0</v>
      </c>
      <c r="AU13" s="120"/>
      <c r="AV13" s="120"/>
      <c r="AW13" s="120"/>
      <c r="AX13" s="120"/>
      <c r="AY13" s="121"/>
      <c r="AZ13" s="121"/>
      <c r="BA13" s="121"/>
      <c r="BB13" s="121"/>
      <c r="BC13" s="120"/>
      <c r="BD13" s="120"/>
      <c r="BE13" s="120"/>
      <c r="BF13" s="120"/>
      <c r="BG13" s="121"/>
      <c r="BH13" s="121"/>
      <c r="BI13" s="121"/>
      <c r="BJ13" s="121"/>
      <c r="BK13" s="120"/>
      <c r="BL13" s="120"/>
      <c r="BM13" s="120"/>
      <c r="BN13" s="122"/>
    </row>
    <row r="14" spans="2:66" ht="19.5" customHeight="1" thickTop="1" thickBot="1">
      <c r="B14" s="136" t="s">
        <v>178</v>
      </c>
      <c r="C14" s="137"/>
      <c r="D14" s="117">
        <f t="shared" si="0"/>
        <v>34</v>
      </c>
      <c r="E14" s="118">
        <f t="shared" si="1"/>
        <v>0</v>
      </c>
      <c r="F14" s="119"/>
      <c r="G14" s="120">
        <v>1</v>
      </c>
      <c r="H14" s="120">
        <v>3</v>
      </c>
      <c r="I14" s="120">
        <v>2</v>
      </c>
      <c r="J14" s="120">
        <v>1</v>
      </c>
      <c r="K14" s="121">
        <v>4</v>
      </c>
      <c r="L14" s="121">
        <v>1</v>
      </c>
      <c r="M14" s="121">
        <v>3</v>
      </c>
      <c r="N14" s="121">
        <v>2</v>
      </c>
      <c r="O14" s="120">
        <v>1</v>
      </c>
      <c r="P14" s="120">
        <v>0</v>
      </c>
      <c r="Q14" s="120">
        <v>1</v>
      </c>
      <c r="R14" s="120">
        <v>2</v>
      </c>
      <c r="S14" s="121"/>
      <c r="T14" s="121"/>
      <c r="U14" s="121"/>
      <c r="V14" s="121"/>
      <c r="W14" s="120">
        <v>1</v>
      </c>
      <c r="X14" s="120">
        <v>2</v>
      </c>
      <c r="Y14" s="120">
        <v>2</v>
      </c>
      <c r="Z14" s="120">
        <v>1</v>
      </c>
      <c r="AA14" s="121">
        <v>0</v>
      </c>
      <c r="AB14" s="121">
        <v>1</v>
      </c>
      <c r="AC14" s="121">
        <v>1</v>
      </c>
      <c r="AD14" s="121">
        <v>1</v>
      </c>
      <c r="AE14" s="120">
        <v>0</v>
      </c>
      <c r="AF14" s="120">
        <v>1</v>
      </c>
      <c r="AG14" s="120">
        <v>2</v>
      </c>
      <c r="AH14" s="120">
        <v>1</v>
      </c>
      <c r="AI14" s="121"/>
      <c r="AJ14" s="121"/>
      <c r="AK14" s="121"/>
      <c r="AL14" s="121"/>
      <c r="AM14" s="120"/>
      <c r="AN14" s="120"/>
      <c r="AO14" s="120"/>
      <c r="AP14" s="120"/>
      <c r="AQ14" s="121"/>
      <c r="AR14" s="121"/>
      <c r="AS14" s="121"/>
      <c r="AT14" s="121"/>
      <c r="AU14" s="120"/>
      <c r="AV14" s="120"/>
      <c r="AW14" s="120"/>
      <c r="AX14" s="120"/>
      <c r="AY14" s="121"/>
      <c r="AZ14" s="121"/>
      <c r="BA14" s="121"/>
      <c r="BB14" s="121"/>
      <c r="BC14" s="120"/>
      <c r="BD14" s="120"/>
      <c r="BE14" s="120"/>
      <c r="BF14" s="120"/>
      <c r="BG14" s="121"/>
      <c r="BH14" s="121"/>
      <c r="BI14" s="121"/>
      <c r="BJ14" s="121"/>
      <c r="BK14" s="120"/>
      <c r="BL14" s="120"/>
      <c r="BM14" s="120"/>
      <c r="BN14" s="122"/>
    </row>
    <row r="15" spans="2:66" ht="19.5" customHeight="1" thickTop="1" thickBot="1">
      <c r="B15" s="136" t="s">
        <v>179</v>
      </c>
      <c r="C15" s="137"/>
      <c r="D15" s="117">
        <f t="shared" si="0"/>
        <v>17</v>
      </c>
      <c r="E15" s="118">
        <f t="shared" si="1"/>
        <v>7</v>
      </c>
      <c r="F15" s="119"/>
      <c r="G15" s="120"/>
      <c r="H15" s="120"/>
      <c r="I15" s="120"/>
      <c r="J15" s="120"/>
      <c r="K15" s="121"/>
      <c r="L15" s="121"/>
      <c r="M15" s="121"/>
      <c r="N15" s="121"/>
      <c r="O15" s="120"/>
      <c r="P15" s="120"/>
      <c r="Q15" s="120"/>
      <c r="R15" s="120"/>
      <c r="S15" s="121"/>
      <c r="T15" s="121"/>
      <c r="U15" s="121"/>
      <c r="V15" s="121"/>
      <c r="W15" s="120"/>
      <c r="X15" s="120"/>
      <c r="Y15" s="120"/>
      <c r="Z15" s="120"/>
      <c r="AA15" s="121">
        <v>2</v>
      </c>
      <c r="AB15" s="121">
        <v>2</v>
      </c>
      <c r="AC15" s="121">
        <v>2</v>
      </c>
      <c r="AD15" s="121">
        <v>1</v>
      </c>
      <c r="AE15" s="120">
        <v>1</v>
      </c>
      <c r="AF15" s="120">
        <v>1</v>
      </c>
      <c r="AG15" s="120">
        <v>1</v>
      </c>
      <c r="AH15" s="120">
        <v>1</v>
      </c>
      <c r="AI15" s="121">
        <v>0</v>
      </c>
      <c r="AJ15" s="121">
        <v>0</v>
      </c>
      <c r="AK15" s="121">
        <v>0</v>
      </c>
      <c r="AL15" s="121">
        <v>1</v>
      </c>
      <c r="AM15" s="120">
        <v>2</v>
      </c>
      <c r="AN15" s="120">
        <v>1</v>
      </c>
      <c r="AO15" s="120">
        <v>2</v>
      </c>
      <c r="AP15" s="120">
        <v>0</v>
      </c>
      <c r="AQ15" s="121">
        <v>3</v>
      </c>
      <c r="AR15" s="121">
        <v>2</v>
      </c>
      <c r="AS15" s="121">
        <v>1</v>
      </c>
      <c r="AT15" s="121">
        <v>1</v>
      </c>
      <c r="AU15" s="120"/>
      <c r="AV15" s="120"/>
      <c r="AW15" s="120"/>
      <c r="AX15" s="120"/>
      <c r="AY15" s="121"/>
      <c r="AZ15" s="121"/>
      <c r="BA15" s="121"/>
      <c r="BB15" s="121"/>
      <c r="BC15" s="120"/>
      <c r="BD15" s="120"/>
      <c r="BE15" s="120"/>
      <c r="BF15" s="120"/>
      <c r="BG15" s="121"/>
      <c r="BH15" s="121"/>
      <c r="BI15" s="121"/>
      <c r="BJ15" s="121"/>
      <c r="BK15" s="120"/>
      <c r="BL15" s="120"/>
      <c r="BM15" s="120"/>
      <c r="BN15" s="122"/>
    </row>
    <row r="16" spans="2:66" ht="19.5" customHeight="1" thickTop="1" thickBot="1">
      <c r="B16" s="136" t="s">
        <v>180</v>
      </c>
      <c r="C16" s="137"/>
      <c r="D16" s="117">
        <f t="shared" si="0"/>
        <v>2</v>
      </c>
      <c r="E16" s="118">
        <f t="shared" si="1"/>
        <v>0</v>
      </c>
      <c r="F16" s="119">
        <v>2</v>
      </c>
      <c r="G16" s="120"/>
      <c r="H16" s="120"/>
      <c r="I16" s="120"/>
      <c r="J16" s="120"/>
      <c r="K16" s="121"/>
      <c r="L16" s="121"/>
      <c r="M16" s="121"/>
      <c r="N16" s="121"/>
      <c r="O16" s="120"/>
      <c r="P16" s="120"/>
      <c r="Q16" s="120"/>
      <c r="R16" s="120"/>
      <c r="S16" s="121"/>
      <c r="T16" s="121"/>
      <c r="U16" s="121"/>
      <c r="V16" s="121"/>
      <c r="W16" s="120"/>
      <c r="X16" s="120"/>
      <c r="Y16" s="120"/>
      <c r="Z16" s="120"/>
      <c r="AA16" s="121"/>
      <c r="AB16" s="121"/>
      <c r="AC16" s="121"/>
      <c r="AD16" s="121"/>
      <c r="AE16" s="120"/>
      <c r="AF16" s="120"/>
      <c r="AG16" s="120"/>
      <c r="AH16" s="120"/>
      <c r="AI16" s="121"/>
      <c r="AJ16" s="121"/>
      <c r="AK16" s="121"/>
      <c r="AL16" s="121"/>
      <c r="AM16" s="120"/>
      <c r="AN16" s="120"/>
      <c r="AO16" s="120"/>
      <c r="AP16" s="120"/>
      <c r="AQ16" s="121"/>
      <c r="AR16" s="121"/>
      <c r="AS16" s="121"/>
      <c r="AT16" s="121"/>
      <c r="AU16" s="120"/>
      <c r="AV16" s="120"/>
      <c r="AW16" s="120"/>
      <c r="AX16" s="120"/>
      <c r="AY16" s="121"/>
      <c r="AZ16" s="121"/>
      <c r="BA16" s="121"/>
      <c r="BB16" s="121"/>
      <c r="BC16" s="120"/>
      <c r="BD16" s="120"/>
      <c r="BE16" s="120"/>
      <c r="BF16" s="120"/>
      <c r="BG16" s="121"/>
      <c r="BH16" s="121"/>
      <c r="BI16" s="121"/>
      <c r="BJ16" s="121"/>
      <c r="BK16" s="120"/>
      <c r="BL16" s="120"/>
      <c r="BM16" s="120"/>
      <c r="BN16" s="122"/>
    </row>
    <row r="17" spans="2:66" ht="19.5" customHeight="1" thickTop="1" thickBot="1">
      <c r="B17" s="136" t="s">
        <v>170</v>
      </c>
      <c r="C17" s="137"/>
      <c r="D17" s="117">
        <f t="shared" si="0"/>
        <v>79</v>
      </c>
      <c r="E17" s="118">
        <f t="shared" si="1"/>
        <v>0</v>
      </c>
      <c r="F17" s="119">
        <v>12</v>
      </c>
      <c r="G17" s="120">
        <v>2</v>
      </c>
      <c r="H17" s="120">
        <v>3</v>
      </c>
      <c r="I17" s="120">
        <v>3</v>
      </c>
      <c r="J17" s="120">
        <v>3</v>
      </c>
      <c r="K17" s="121">
        <v>4</v>
      </c>
      <c r="L17" s="121">
        <v>2</v>
      </c>
      <c r="M17" s="121">
        <v>3</v>
      </c>
      <c r="N17" s="121">
        <v>3</v>
      </c>
      <c r="O17" s="120"/>
      <c r="P17" s="120"/>
      <c r="Q17" s="120"/>
      <c r="R17" s="120"/>
      <c r="S17" s="121">
        <v>1</v>
      </c>
      <c r="T17" s="121">
        <v>3</v>
      </c>
      <c r="U17" s="121">
        <v>3</v>
      </c>
      <c r="V17" s="121">
        <v>0</v>
      </c>
      <c r="W17" s="120">
        <v>1</v>
      </c>
      <c r="X17" s="120">
        <v>2</v>
      </c>
      <c r="Y17" s="120">
        <v>0</v>
      </c>
      <c r="Z17" s="120">
        <v>3</v>
      </c>
      <c r="AA17" s="121">
        <v>1</v>
      </c>
      <c r="AB17" s="121">
        <v>1</v>
      </c>
      <c r="AC17" s="121">
        <v>3</v>
      </c>
      <c r="AD17" s="121">
        <v>1</v>
      </c>
      <c r="AE17" s="120">
        <v>4</v>
      </c>
      <c r="AF17" s="120">
        <v>1</v>
      </c>
      <c r="AG17" s="120">
        <v>2</v>
      </c>
      <c r="AH17" s="120">
        <v>4</v>
      </c>
      <c r="AI17" s="121">
        <v>1</v>
      </c>
      <c r="AJ17" s="121">
        <v>1</v>
      </c>
      <c r="AK17" s="121">
        <v>2</v>
      </c>
      <c r="AL17" s="121">
        <v>3</v>
      </c>
      <c r="AM17" s="120">
        <v>1</v>
      </c>
      <c r="AN17" s="120">
        <v>2</v>
      </c>
      <c r="AO17" s="120">
        <v>2</v>
      </c>
      <c r="AP17" s="120">
        <v>2</v>
      </c>
      <c r="AQ17" s="121"/>
      <c r="AR17" s="121"/>
      <c r="AS17" s="121"/>
      <c r="AT17" s="121"/>
      <c r="AU17" s="120"/>
      <c r="AV17" s="120"/>
      <c r="AW17" s="120"/>
      <c r="AX17" s="120"/>
      <c r="AY17" s="121"/>
      <c r="AZ17" s="121"/>
      <c r="BA17" s="121"/>
      <c r="BB17" s="121"/>
      <c r="BC17" s="120"/>
      <c r="BD17" s="120"/>
      <c r="BE17" s="120"/>
      <c r="BF17" s="120"/>
      <c r="BG17" s="121"/>
      <c r="BH17" s="121"/>
      <c r="BI17" s="121"/>
      <c r="BJ17" s="121"/>
      <c r="BK17" s="120"/>
      <c r="BL17" s="120"/>
      <c r="BM17" s="120"/>
      <c r="BN17" s="122"/>
    </row>
    <row r="18" spans="2:66" ht="19.5" customHeight="1" thickTop="1" thickBot="1">
      <c r="B18" s="136" t="s">
        <v>185</v>
      </c>
      <c r="C18" s="137"/>
      <c r="D18" s="117">
        <f t="shared" si="0"/>
        <v>26</v>
      </c>
      <c r="E18" s="118">
        <f t="shared" si="1"/>
        <v>0</v>
      </c>
      <c r="F18" s="119"/>
      <c r="G18" s="120"/>
      <c r="H18" s="120"/>
      <c r="I18" s="120"/>
      <c r="J18" s="120"/>
      <c r="K18" s="121"/>
      <c r="L18" s="121"/>
      <c r="M18" s="121"/>
      <c r="N18" s="121"/>
      <c r="O18" s="120"/>
      <c r="P18" s="120"/>
      <c r="Q18" s="120"/>
      <c r="R18" s="120"/>
      <c r="S18" s="121"/>
      <c r="T18" s="121"/>
      <c r="U18" s="121"/>
      <c r="V18" s="121"/>
      <c r="W18" s="120">
        <v>2</v>
      </c>
      <c r="X18" s="120">
        <v>1</v>
      </c>
      <c r="Y18" s="120">
        <v>1</v>
      </c>
      <c r="Z18" s="120">
        <v>0</v>
      </c>
      <c r="AA18" s="121">
        <v>3</v>
      </c>
      <c r="AB18" s="121">
        <v>1</v>
      </c>
      <c r="AC18" s="121">
        <v>2</v>
      </c>
      <c r="AD18" s="121">
        <v>2</v>
      </c>
      <c r="AE18" s="120">
        <v>3</v>
      </c>
      <c r="AF18" s="120">
        <v>1</v>
      </c>
      <c r="AG18" s="120">
        <v>0</v>
      </c>
      <c r="AH18" s="120">
        <v>1</v>
      </c>
      <c r="AI18" s="121">
        <v>2</v>
      </c>
      <c r="AJ18" s="121">
        <v>1</v>
      </c>
      <c r="AK18" s="121">
        <v>2</v>
      </c>
      <c r="AL18" s="121">
        <v>1</v>
      </c>
      <c r="AM18" s="120">
        <v>1</v>
      </c>
      <c r="AN18" s="120">
        <v>1</v>
      </c>
      <c r="AO18" s="120">
        <v>0</v>
      </c>
      <c r="AP18" s="120">
        <v>1</v>
      </c>
      <c r="AQ18" s="121"/>
      <c r="AR18" s="121"/>
      <c r="AS18" s="121"/>
      <c r="AT18" s="121"/>
      <c r="AU18" s="120"/>
      <c r="AV18" s="120"/>
      <c r="AW18" s="120"/>
      <c r="AX18" s="120"/>
      <c r="AY18" s="121"/>
      <c r="AZ18" s="121"/>
      <c r="BA18" s="121"/>
      <c r="BB18" s="121"/>
      <c r="BC18" s="120"/>
      <c r="BD18" s="120"/>
      <c r="BE18" s="120"/>
      <c r="BF18" s="120"/>
      <c r="BG18" s="121"/>
      <c r="BH18" s="121"/>
      <c r="BI18" s="121"/>
      <c r="BJ18" s="121"/>
      <c r="BK18" s="120"/>
      <c r="BL18" s="120"/>
      <c r="BM18" s="120"/>
      <c r="BN18" s="122"/>
    </row>
    <row r="19" spans="2:66" ht="19.5" customHeight="1" thickTop="1" thickBot="1">
      <c r="B19" s="136"/>
      <c r="C19" s="137"/>
      <c r="D19" s="117">
        <f t="shared" si="0"/>
        <v>0</v>
      </c>
      <c r="E19" s="118">
        <f t="shared" si="1"/>
        <v>0</v>
      </c>
      <c r="F19" s="119"/>
      <c r="G19" s="120"/>
      <c r="H19" s="120"/>
      <c r="I19" s="120"/>
      <c r="J19" s="120"/>
      <c r="K19" s="121"/>
      <c r="L19" s="121"/>
      <c r="M19" s="121"/>
      <c r="N19" s="121"/>
      <c r="O19" s="120"/>
      <c r="P19" s="120"/>
      <c r="Q19" s="120"/>
      <c r="R19" s="120"/>
      <c r="S19" s="121"/>
      <c r="T19" s="121"/>
      <c r="U19" s="121"/>
      <c r="V19" s="121"/>
      <c r="W19" s="120"/>
      <c r="X19" s="120"/>
      <c r="Y19" s="120"/>
      <c r="Z19" s="120"/>
      <c r="AA19" s="121"/>
      <c r="AB19" s="121"/>
      <c r="AC19" s="121"/>
      <c r="AD19" s="121"/>
      <c r="AE19" s="120"/>
      <c r="AF19" s="120"/>
      <c r="AG19" s="120"/>
      <c r="AH19" s="120"/>
      <c r="AI19" s="121"/>
      <c r="AJ19" s="121"/>
      <c r="AK19" s="121"/>
      <c r="AL19" s="121"/>
      <c r="AM19" s="120"/>
      <c r="AN19" s="120"/>
      <c r="AO19" s="120"/>
      <c r="AP19" s="120"/>
      <c r="AQ19" s="121"/>
      <c r="AR19" s="121"/>
      <c r="AS19" s="121"/>
      <c r="AT19" s="121"/>
      <c r="AU19" s="120"/>
      <c r="AV19" s="120"/>
      <c r="AW19" s="120"/>
      <c r="AX19" s="120"/>
      <c r="AY19" s="121"/>
      <c r="AZ19" s="121"/>
      <c r="BA19" s="121"/>
      <c r="BB19" s="121"/>
      <c r="BC19" s="120"/>
      <c r="BD19" s="120"/>
      <c r="BE19" s="120"/>
      <c r="BF19" s="120"/>
      <c r="BG19" s="121"/>
      <c r="BH19" s="121"/>
      <c r="BI19" s="121"/>
      <c r="BJ19" s="121"/>
      <c r="BK19" s="120"/>
      <c r="BL19" s="120"/>
      <c r="BM19" s="120"/>
      <c r="BN19" s="122"/>
    </row>
    <row r="20" spans="2:66" ht="19.5" customHeight="1" thickTop="1" thickBot="1">
      <c r="B20" s="136"/>
      <c r="C20" s="137"/>
      <c r="D20" s="117">
        <f t="shared" si="0"/>
        <v>0</v>
      </c>
      <c r="E20" s="118">
        <f t="shared" si="1"/>
        <v>0</v>
      </c>
      <c r="F20" s="119"/>
      <c r="G20" s="120"/>
      <c r="H20" s="120"/>
      <c r="I20" s="120"/>
      <c r="J20" s="120"/>
      <c r="K20" s="121"/>
      <c r="L20" s="121"/>
      <c r="M20" s="121"/>
      <c r="N20" s="121"/>
      <c r="O20" s="120"/>
      <c r="P20" s="120"/>
      <c r="Q20" s="120"/>
      <c r="R20" s="120"/>
      <c r="S20" s="121"/>
      <c r="T20" s="121"/>
      <c r="U20" s="121"/>
      <c r="V20" s="121"/>
      <c r="W20" s="120"/>
      <c r="X20" s="120"/>
      <c r="Y20" s="120"/>
      <c r="Z20" s="120"/>
      <c r="AA20" s="121"/>
      <c r="AB20" s="121"/>
      <c r="AC20" s="121"/>
      <c r="AD20" s="121"/>
      <c r="AE20" s="120"/>
      <c r="AF20" s="120"/>
      <c r="AG20" s="120"/>
      <c r="AH20" s="120"/>
      <c r="AI20" s="121"/>
      <c r="AJ20" s="121"/>
      <c r="AK20" s="121"/>
      <c r="AL20" s="121"/>
      <c r="AM20" s="120"/>
      <c r="AN20" s="120"/>
      <c r="AO20" s="120"/>
      <c r="AP20" s="120"/>
      <c r="AQ20" s="121"/>
      <c r="AR20" s="121"/>
      <c r="AS20" s="121"/>
      <c r="AT20" s="121"/>
      <c r="AU20" s="120"/>
      <c r="AV20" s="120"/>
      <c r="AW20" s="120"/>
      <c r="AX20" s="120"/>
      <c r="AY20" s="121"/>
      <c r="AZ20" s="121"/>
      <c r="BA20" s="121"/>
      <c r="BB20" s="121"/>
      <c r="BC20" s="120"/>
      <c r="BD20" s="120"/>
      <c r="BE20" s="120"/>
      <c r="BF20" s="120"/>
      <c r="BG20" s="121"/>
      <c r="BH20" s="121"/>
      <c r="BI20" s="121"/>
      <c r="BJ20" s="121"/>
      <c r="BK20" s="120"/>
      <c r="BL20" s="120"/>
      <c r="BM20" s="120"/>
      <c r="BN20" s="122"/>
    </row>
    <row r="21" spans="2:66" ht="19.5" customHeight="1" thickTop="1" thickBot="1">
      <c r="B21" s="136"/>
      <c r="C21" s="137"/>
      <c r="D21" s="117">
        <f t="shared" si="0"/>
        <v>0</v>
      </c>
      <c r="E21" s="118">
        <f t="shared" si="1"/>
        <v>0</v>
      </c>
      <c r="F21" s="119"/>
      <c r="G21" s="120"/>
      <c r="H21" s="120"/>
      <c r="I21" s="120"/>
      <c r="J21" s="120"/>
      <c r="K21" s="121"/>
      <c r="L21" s="121"/>
      <c r="M21" s="121"/>
      <c r="N21" s="121"/>
      <c r="O21" s="120"/>
      <c r="P21" s="120"/>
      <c r="Q21" s="120"/>
      <c r="R21" s="120"/>
      <c r="S21" s="121"/>
      <c r="T21" s="121"/>
      <c r="U21" s="121"/>
      <c r="V21" s="121"/>
      <c r="W21" s="120"/>
      <c r="X21" s="120"/>
      <c r="Y21" s="120"/>
      <c r="Z21" s="120"/>
      <c r="AA21" s="121"/>
      <c r="AB21" s="121"/>
      <c r="AC21" s="121"/>
      <c r="AD21" s="121"/>
      <c r="AE21" s="120"/>
      <c r="AF21" s="120"/>
      <c r="AG21" s="120"/>
      <c r="AH21" s="120"/>
      <c r="AI21" s="121"/>
      <c r="AJ21" s="121"/>
      <c r="AK21" s="121"/>
      <c r="AL21" s="121"/>
      <c r="AM21" s="120"/>
      <c r="AN21" s="120"/>
      <c r="AO21" s="120"/>
      <c r="AP21" s="120"/>
      <c r="AQ21" s="121"/>
      <c r="AR21" s="121"/>
      <c r="AS21" s="121"/>
      <c r="AT21" s="121"/>
      <c r="AU21" s="120"/>
      <c r="AV21" s="120"/>
      <c r="AW21" s="120"/>
      <c r="AX21" s="120"/>
      <c r="AY21" s="121"/>
      <c r="AZ21" s="121"/>
      <c r="BA21" s="121"/>
      <c r="BB21" s="121"/>
      <c r="BC21" s="120"/>
      <c r="BD21" s="120"/>
      <c r="BE21" s="120"/>
      <c r="BF21" s="120"/>
      <c r="BG21" s="121"/>
      <c r="BH21" s="121"/>
      <c r="BI21" s="121"/>
      <c r="BJ21" s="121"/>
      <c r="BK21" s="120"/>
      <c r="BL21" s="120"/>
      <c r="BM21" s="120"/>
      <c r="BN21" s="122"/>
    </row>
    <row r="22" spans="2:66" ht="19.5" hidden="1" customHeight="1" thickTop="1" thickBot="1">
      <c r="B22" s="136"/>
      <c r="C22" s="137"/>
      <c r="D22" s="117">
        <f t="shared" si="0"/>
        <v>0</v>
      </c>
      <c r="E22" s="118">
        <f t="shared" si="1"/>
        <v>0</v>
      </c>
      <c r="F22" s="119"/>
      <c r="G22" s="120"/>
      <c r="H22" s="120"/>
      <c r="I22" s="120"/>
      <c r="J22" s="120"/>
      <c r="K22" s="121"/>
      <c r="L22" s="121"/>
      <c r="M22" s="121"/>
      <c r="N22" s="121"/>
      <c r="O22" s="120"/>
      <c r="P22" s="120"/>
      <c r="Q22" s="120"/>
      <c r="R22" s="120"/>
      <c r="S22" s="121"/>
      <c r="T22" s="121"/>
      <c r="U22" s="121"/>
      <c r="V22" s="121"/>
      <c r="W22" s="120"/>
      <c r="X22" s="120"/>
      <c r="Y22" s="120"/>
      <c r="Z22" s="120"/>
      <c r="AA22" s="121"/>
      <c r="AB22" s="121"/>
      <c r="AC22" s="121"/>
      <c r="AD22" s="121"/>
      <c r="AE22" s="120"/>
      <c r="AF22" s="120"/>
      <c r="AG22" s="120"/>
      <c r="AH22" s="120"/>
      <c r="AI22" s="121"/>
      <c r="AJ22" s="121"/>
      <c r="AK22" s="121"/>
      <c r="AL22" s="121"/>
      <c r="AM22" s="120"/>
      <c r="AN22" s="120"/>
      <c r="AO22" s="120"/>
      <c r="AP22" s="120"/>
      <c r="AQ22" s="121"/>
      <c r="AR22" s="121"/>
      <c r="AS22" s="121"/>
      <c r="AT22" s="121"/>
      <c r="AU22" s="120"/>
      <c r="AV22" s="120"/>
      <c r="AW22" s="120"/>
      <c r="AX22" s="120"/>
      <c r="AY22" s="121"/>
      <c r="AZ22" s="121"/>
      <c r="BA22" s="121"/>
      <c r="BB22" s="121"/>
      <c r="BC22" s="120"/>
      <c r="BD22" s="120"/>
      <c r="BE22" s="120"/>
      <c r="BF22" s="120"/>
      <c r="BG22" s="121"/>
      <c r="BH22" s="121"/>
      <c r="BI22" s="121"/>
      <c r="BJ22" s="121"/>
      <c r="BK22" s="120"/>
      <c r="BL22" s="120"/>
      <c r="BM22" s="120"/>
      <c r="BN22" s="122"/>
    </row>
    <row r="23" spans="2:66" ht="19.5" hidden="1" customHeight="1" thickTop="1" thickBot="1">
      <c r="B23" s="136"/>
      <c r="C23" s="137"/>
      <c r="D23" s="117">
        <f t="shared" si="0"/>
        <v>0</v>
      </c>
      <c r="E23" s="118">
        <f t="shared" si="1"/>
        <v>0</v>
      </c>
      <c r="F23" s="119"/>
      <c r="G23" s="120"/>
      <c r="H23" s="120"/>
      <c r="I23" s="120"/>
      <c r="J23" s="120"/>
      <c r="K23" s="121"/>
      <c r="L23" s="121"/>
      <c r="M23" s="121"/>
      <c r="N23" s="121"/>
      <c r="O23" s="120"/>
      <c r="P23" s="120"/>
      <c r="Q23" s="120"/>
      <c r="R23" s="120"/>
      <c r="S23" s="121"/>
      <c r="T23" s="121"/>
      <c r="U23" s="121"/>
      <c r="V23" s="121"/>
      <c r="W23" s="120"/>
      <c r="X23" s="120"/>
      <c r="Y23" s="120"/>
      <c r="Z23" s="120"/>
      <c r="AA23" s="121"/>
      <c r="AB23" s="121"/>
      <c r="AC23" s="121"/>
      <c r="AD23" s="121"/>
      <c r="AE23" s="120"/>
      <c r="AF23" s="120"/>
      <c r="AG23" s="120"/>
      <c r="AH23" s="120"/>
      <c r="AI23" s="121"/>
      <c r="AJ23" s="121"/>
      <c r="AK23" s="121"/>
      <c r="AL23" s="121"/>
      <c r="AM23" s="120"/>
      <c r="AN23" s="120"/>
      <c r="AO23" s="120"/>
      <c r="AP23" s="120"/>
      <c r="AQ23" s="121"/>
      <c r="AR23" s="121"/>
      <c r="AS23" s="121"/>
      <c r="AT23" s="121"/>
      <c r="AU23" s="120"/>
      <c r="AV23" s="120"/>
      <c r="AW23" s="120"/>
      <c r="AX23" s="120"/>
      <c r="AY23" s="121"/>
      <c r="AZ23" s="121"/>
      <c r="BA23" s="121"/>
      <c r="BB23" s="121"/>
      <c r="BC23" s="120"/>
      <c r="BD23" s="120"/>
      <c r="BE23" s="120"/>
      <c r="BF23" s="120"/>
      <c r="BG23" s="121"/>
      <c r="BH23" s="121"/>
      <c r="BI23" s="121"/>
      <c r="BJ23" s="121"/>
      <c r="BK23" s="120"/>
      <c r="BL23" s="120"/>
      <c r="BM23" s="120"/>
      <c r="BN23" s="122"/>
    </row>
    <row r="24" spans="2:66" ht="19.5" hidden="1" customHeight="1" thickTop="1" thickBot="1">
      <c r="B24" s="123"/>
      <c r="C24" s="124"/>
      <c r="D24" s="117">
        <f t="shared" si="0"/>
        <v>0</v>
      </c>
      <c r="E24" s="118">
        <f t="shared" si="1"/>
        <v>0</v>
      </c>
      <c r="F24" s="119"/>
      <c r="G24" s="120"/>
      <c r="H24" s="120"/>
      <c r="I24" s="120"/>
      <c r="J24" s="120"/>
      <c r="K24" s="121"/>
      <c r="L24" s="121"/>
      <c r="M24" s="121"/>
      <c r="N24" s="121"/>
      <c r="O24" s="120"/>
      <c r="P24" s="120"/>
      <c r="Q24" s="120"/>
      <c r="R24" s="120"/>
      <c r="S24" s="121"/>
      <c r="T24" s="121"/>
      <c r="U24" s="121"/>
      <c r="V24" s="121"/>
      <c r="W24" s="120"/>
      <c r="X24" s="120"/>
      <c r="Y24" s="120"/>
      <c r="Z24" s="120"/>
      <c r="AA24" s="121"/>
      <c r="AB24" s="121"/>
      <c r="AC24" s="121"/>
      <c r="AD24" s="121"/>
      <c r="AE24" s="120"/>
      <c r="AF24" s="120"/>
      <c r="AG24" s="120"/>
      <c r="AH24" s="120"/>
      <c r="AI24" s="121"/>
      <c r="AJ24" s="121"/>
      <c r="AK24" s="121"/>
      <c r="AL24" s="121"/>
      <c r="AM24" s="120"/>
      <c r="AN24" s="120"/>
      <c r="AO24" s="120"/>
      <c r="AP24" s="120"/>
      <c r="AQ24" s="121"/>
      <c r="AR24" s="121"/>
      <c r="AS24" s="121"/>
      <c r="AT24" s="121"/>
      <c r="AU24" s="120"/>
      <c r="AV24" s="120"/>
      <c r="AW24" s="120"/>
      <c r="AX24" s="120"/>
      <c r="AY24" s="121"/>
      <c r="AZ24" s="121"/>
      <c r="BA24" s="121"/>
      <c r="BB24" s="121"/>
      <c r="BC24" s="120"/>
      <c r="BD24" s="120"/>
      <c r="BE24" s="120"/>
      <c r="BF24" s="120"/>
      <c r="BG24" s="121"/>
      <c r="BH24" s="121"/>
      <c r="BI24" s="121"/>
      <c r="BJ24" s="121"/>
      <c r="BK24" s="120"/>
      <c r="BL24" s="120"/>
      <c r="BM24" s="120"/>
      <c r="BN24" s="122"/>
    </row>
    <row r="25" spans="2:66" ht="19.5" hidden="1" customHeight="1" thickTop="1" thickBot="1">
      <c r="B25" s="123"/>
      <c r="C25" s="124"/>
      <c r="D25" s="117">
        <f t="shared" si="0"/>
        <v>0</v>
      </c>
      <c r="E25" s="118">
        <f t="shared" si="1"/>
        <v>0</v>
      </c>
      <c r="F25" s="119"/>
      <c r="G25" s="120"/>
      <c r="H25" s="120"/>
      <c r="I25" s="120"/>
      <c r="J25" s="120"/>
      <c r="K25" s="121"/>
      <c r="L25" s="121"/>
      <c r="M25" s="121"/>
      <c r="N25" s="121"/>
      <c r="O25" s="120"/>
      <c r="P25" s="120"/>
      <c r="Q25" s="120"/>
      <c r="R25" s="120"/>
      <c r="S25" s="121"/>
      <c r="T25" s="121"/>
      <c r="U25" s="121"/>
      <c r="V25" s="121"/>
      <c r="W25" s="120"/>
      <c r="X25" s="120"/>
      <c r="Y25" s="120"/>
      <c r="Z25" s="120"/>
      <c r="AA25" s="121"/>
      <c r="AB25" s="121"/>
      <c r="AC25" s="121"/>
      <c r="AD25" s="121"/>
      <c r="AE25" s="120"/>
      <c r="AF25" s="120"/>
      <c r="AG25" s="120"/>
      <c r="AH25" s="120"/>
      <c r="AI25" s="121"/>
      <c r="AJ25" s="121"/>
      <c r="AK25" s="121"/>
      <c r="AL25" s="121"/>
      <c r="AM25" s="120"/>
      <c r="AN25" s="120"/>
      <c r="AO25" s="120"/>
      <c r="AP25" s="120"/>
      <c r="AQ25" s="121"/>
      <c r="AR25" s="121"/>
      <c r="AS25" s="121"/>
      <c r="AT25" s="121"/>
      <c r="AU25" s="120"/>
      <c r="AV25" s="120"/>
      <c r="AW25" s="120"/>
      <c r="AX25" s="120"/>
      <c r="AY25" s="121"/>
      <c r="AZ25" s="121"/>
      <c r="BA25" s="121"/>
      <c r="BB25" s="121"/>
      <c r="BC25" s="120"/>
      <c r="BD25" s="120"/>
      <c r="BE25" s="120"/>
      <c r="BF25" s="120"/>
      <c r="BG25" s="121"/>
      <c r="BH25" s="121"/>
      <c r="BI25" s="121"/>
      <c r="BJ25" s="121"/>
      <c r="BK25" s="120"/>
      <c r="BL25" s="120"/>
      <c r="BM25" s="120"/>
      <c r="BN25" s="122"/>
    </row>
    <row r="26" spans="2:66" ht="19.5" hidden="1" customHeight="1" thickTop="1" thickBot="1">
      <c r="B26" s="123"/>
      <c r="C26" s="124"/>
      <c r="D26" s="117">
        <f t="shared" si="0"/>
        <v>0</v>
      </c>
      <c r="E26" s="118">
        <f t="shared" si="1"/>
        <v>0</v>
      </c>
      <c r="F26" s="119"/>
      <c r="G26" s="120"/>
      <c r="H26" s="120"/>
      <c r="I26" s="120"/>
      <c r="J26" s="120"/>
      <c r="K26" s="121"/>
      <c r="L26" s="121"/>
      <c r="M26" s="121"/>
      <c r="N26" s="121"/>
      <c r="O26" s="120"/>
      <c r="P26" s="120"/>
      <c r="Q26" s="120"/>
      <c r="R26" s="120"/>
      <c r="S26" s="121"/>
      <c r="T26" s="121"/>
      <c r="U26" s="121"/>
      <c r="V26" s="121"/>
      <c r="W26" s="120"/>
      <c r="X26" s="120"/>
      <c r="Y26" s="120"/>
      <c r="Z26" s="120"/>
      <c r="AA26" s="121"/>
      <c r="AB26" s="121"/>
      <c r="AC26" s="121"/>
      <c r="AD26" s="121"/>
      <c r="AE26" s="120"/>
      <c r="AF26" s="120"/>
      <c r="AG26" s="120"/>
      <c r="AH26" s="120"/>
      <c r="AI26" s="121"/>
      <c r="AJ26" s="121"/>
      <c r="AK26" s="121"/>
      <c r="AL26" s="121"/>
      <c r="AM26" s="120"/>
      <c r="AN26" s="120"/>
      <c r="AO26" s="120"/>
      <c r="AP26" s="120"/>
      <c r="AQ26" s="121"/>
      <c r="AR26" s="121"/>
      <c r="AS26" s="121"/>
      <c r="AT26" s="121"/>
      <c r="AU26" s="120"/>
      <c r="AV26" s="120"/>
      <c r="AW26" s="120"/>
      <c r="AX26" s="120"/>
      <c r="AY26" s="121"/>
      <c r="AZ26" s="121"/>
      <c r="BA26" s="121"/>
      <c r="BB26" s="121"/>
      <c r="BC26" s="120"/>
      <c r="BD26" s="120"/>
      <c r="BE26" s="120"/>
      <c r="BF26" s="120"/>
      <c r="BG26" s="121"/>
      <c r="BH26" s="121"/>
      <c r="BI26" s="121"/>
      <c r="BJ26" s="121"/>
      <c r="BK26" s="120"/>
      <c r="BL26" s="120"/>
      <c r="BM26" s="120"/>
      <c r="BN26" s="122"/>
    </row>
    <row r="27" spans="2:66" ht="19.5" hidden="1" customHeight="1" thickTop="1" thickBot="1">
      <c r="B27" s="123"/>
      <c r="C27" s="124"/>
      <c r="D27" s="117">
        <f t="shared" si="0"/>
        <v>0</v>
      </c>
      <c r="E27" s="118">
        <f t="shared" si="1"/>
        <v>0</v>
      </c>
      <c r="F27" s="119"/>
      <c r="G27" s="120"/>
      <c r="H27" s="120"/>
      <c r="I27" s="120"/>
      <c r="J27" s="120"/>
      <c r="K27" s="121"/>
      <c r="L27" s="121"/>
      <c r="M27" s="121"/>
      <c r="N27" s="121"/>
      <c r="O27" s="120"/>
      <c r="P27" s="120"/>
      <c r="Q27" s="120"/>
      <c r="R27" s="120"/>
      <c r="S27" s="121"/>
      <c r="T27" s="121"/>
      <c r="U27" s="121"/>
      <c r="V27" s="121"/>
      <c r="W27" s="120"/>
      <c r="X27" s="120"/>
      <c r="Y27" s="120"/>
      <c r="Z27" s="120"/>
      <c r="AA27" s="121"/>
      <c r="AB27" s="121"/>
      <c r="AC27" s="121"/>
      <c r="AD27" s="121"/>
      <c r="AE27" s="120"/>
      <c r="AF27" s="120"/>
      <c r="AG27" s="120"/>
      <c r="AH27" s="120"/>
      <c r="AI27" s="121"/>
      <c r="AJ27" s="121"/>
      <c r="AK27" s="121"/>
      <c r="AL27" s="121"/>
      <c r="AM27" s="120"/>
      <c r="AN27" s="120"/>
      <c r="AO27" s="120"/>
      <c r="AP27" s="120"/>
      <c r="AQ27" s="121"/>
      <c r="AR27" s="121"/>
      <c r="AS27" s="121"/>
      <c r="AT27" s="121"/>
      <c r="AU27" s="120"/>
      <c r="AV27" s="120"/>
      <c r="AW27" s="120"/>
      <c r="AX27" s="120"/>
      <c r="AY27" s="121"/>
      <c r="AZ27" s="121"/>
      <c r="BA27" s="121"/>
      <c r="BB27" s="121"/>
      <c r="BC27" s="120"/>
      <c r="BD27" s="120"/>
      <c r="BE27" s="120"/>
      <c r="BF27" s="120"/>
      <c r="BG27" s="121"/>
      <c r="BH27" s="121"/>
      <c r="BI27" s="121"/>
      <c r="BJ27" s="121"/>
      <c r="BK27" s="120"/>
      <c r="BL27" s="120"/>
      <c r="BM27" s="120"/>
      <c r="BN27" s="122"/>
    </row>
    <row r="28" spans="2:66" ht="19.5" hidden="1" customHeight="1" thickTop="1" thickBot="1">
      <c r="B28" s="123"/>
      <c r="C28" s="124"/>
      <c r="D28" s="117">
        <f t="shared" si="0"/>
        <v>0</v>
      </c>
      <c r="E28" s="118">
        <f t="shared" si="1"/>
        <v>0</v>
      </c>
      <c r="F28" s="119"/>
      <c r="G28" s="120"/>
      <c r="H28" s="120"/>
      <c r="I28" s="120"/>
      <c r="J28" s="120"/>
      <c r="K28" s="121"/>
      <c r="L28" s="121"/>
      <c r="M28" s="121"/>
      <c r="N28" s="121"/>
      <c r="O28" s="120"/>
      <c r="P28" s="120"/>
      <c r="Q28" s="120"/>
      <c r="R28" s="120"/>
      <c r="S28" s="121"/>
      <c r="T28" s="121"/>
      <c r="U28" s="121"/>
      <c r="V28" s="121"/>
      <c r="W28" s="120"/>
      <c r="X28" s="120"/>
      <c r="Y28" s="120"/>
      <c r="Z28" s="120"/>
      <c r="AA28" s="121"/>
      <c r="AB28" s="121"/>
      <c r="AC28" s="121"/>
      <c r="AD28" s="121"/>
      <c r="AE28" s="120"/>
      <c r="AF28" s="120"/>
      <c r="AG28" s="120"/>
      <c r="AH28" s="120"/>
      <c r="AI28" s="121"/>
      <c r="AJ28" s="121"/>
      <c r="AK28" s="121"/>
      <c r="AL28" s="121"/>
      <c r="AM28" s="120"/>
      <c r="AN28" s="120"/>
      <c r="AO28" s="120"/>
      <c r="AP28" s="120"/>
      <c r="AQ28" s="121"/>
      <c r="AR28" s="121"/>
      <c r="AS28" s="121"/>
      <c r="AT28" s="121"/>
      <c r="AU28" s="120"/>
      <c r="AV28" s="120"/>
      <c r="AW28" s="120"/>
      <c r="AX28" s="120"/>
      <c r="AY28" s="121"/>
      <c r="AZ28" s="121"/>
      <c r="BA28" s="121"/>
      <c r="BB28" s="121"/>
      <c r="BC28" s="120"/>
      <c r="BD28" s="120"/>
      <c r="BE28" s="120"/>
      <c r="BF28" s="120"/>
      <c r="BG28" s="121"/>
      <c r="BH28" s="121"/>
      <c r="BI28" s="121"/>
      <c r="BJ28" s="121"/>
      <c r="BK28" s="120"/>
      <c r="BL28" s="120"/>
      <c r="BM28" s="120"/>
      <c r="BN28" s="122"/>
    </row>
    <row r="29" spans="2:66" ht="19.5" customHeight="1" thickTop="1" thickBot="1">
      <c r="B29" s="123"/>
      <c r="C29" s="124"/>
      <c r="D29" s="117">
        <f t="shared" si="0"/>
        <v>0</v>
      </c>
      <c r="E29" s="118">
        <f t="shared" si="1"/>
        <v>0</v>
      </c>
      <c r="F29" s="119"/>
      <c r="G29" s="120"/>
      <c r="H29" s="120"/>
      <c r="I29" s="120"/>
      <c r="J29" s="120"/>
      <c r="K29" s="121"/>
      <c r="L29" s="121"/>
      <c r="M29" s="121"/>
      <c r="N29" s="121"/>
      <c r="O29" s="120"/>
      <c r="P29" s="120"/>
      <c r="Q29" s="120"/>
      <c r="R29" s="120"/>
      <c r="S29" s="121"/>
      <c r="T29" s="121"/>
      <c r="U29" s="121"/>
      <c r="V29" s="121"/>
      <c r="W29" s="120"/>
      <c r="X29" s="120"/>
      <c r="Y29" s="120"/>
      <c r="Z29" s="120"/>
      <c r="AA29" s="121"/>
      <c r="AB29" s="121"/>
      <c r="AC29" s="121"/>
      <c r="AD29" s="121"/>
      <c r="AE29" s="120"/>
      <c r="AF29" s="120"/>
      <c r="AG29" s="120"/>
      <c r="AH29" s="120"/>
      <c r="AI29" s="121"/>
      <c r="AJ29" s="121"/>
      <c r="AK29" s="121"/>
      <c r="AL29" s="121"/>
      <c r="AM29" s="120"/>
      <c r="AN29" s="120"/>
      <c r="AO29" s="120"/>
      <c r="AP29" s="120"/>
      <c r="AQ29" s="121"/>
      <c r="AR29" s="121"/>
      <c r="AS29" s="121"/>
      <c r="AT29" s="121"/>
      <c r="AU29" s="120"/>
      <c r="AV29" s="120"/>
      <c r="AW29" s="120"/>
      <c r="AX29" s="120"/>
      <c r="AY29" s="121"/>
      <c r="AZ29" s="121"/>
      <c r="BA29" s="121"/>
      <c r="BB29" s="121"/>
      <c r="BC29" s="120"/>
      <c r="BD29" s="120"/>
      <c r="BE29" s="120"/>
      <c r="BF29" s="120"/>
      <c r="BG29" s="121"/>
      <c r="BH29" s="121"/>
      <c r="BI29" s="121"/>
      <c r="BJ29" s="121"/>
      <c r="BK29" s="120"/>
      <c r="BL29" s="120"/>
      <c r="BM29" s="120"/>
      <c r="BN29" s="122"/>
    </row>
    <row r="30" spans="2:66" ht="17.25" thickTop="1" thickBot="1">
      <c r="B30" s="123"/>
      <c r="C30" s="124"/>
      <c r="D30" s="117">
        <f t="shared" si="0"/>
        <v>0</v>
      </c>
      <c r="E30" s="118">
        <f t="shared" si="1"/>
        <v>0</v>
      </c>
      <c r="F30" s="119"/>
      <c r="G30" s="120"/>
      <c r="H30" s="120"/>
      <c r="I30" s="120"/>
      <c r="J30" s="120"/>
      <c r="K30" s="121"/>
      <c r="L30" s="121"/>
      <c r="M30" s="121"/>
      <c r="N30" s="121"/>
      <c r="O30" s="120"/>
      <c r="P30" s="120"/>
      <c r="Q30" s="120"/>
      <c r="R30" s="120"/>
      <c r="S30" s="121"/>
      <c r="T30" s="121"/>
      <c r="U30" s="121"/>
      <c r="V30" s="121"/>
      <c r="W30" s="120"/>
      <c r="X30" s="120"/>
      <c r="Y30" s="120"/>
      <c r="Z30" s="120"/>
      <c r="AA30" s="121"/>
      <c r="AB30" s="121"/>
      <c r="AC30" s="121"/>
      <c r="AD30" s="121"/>
      <c r="AE30" s="120"/>
      <c r="AF30" s="120"/>
      <c r="AG30" s="120"/>
      <c r="AH30" s="120"/>
      <c r="AI30" s="121"/>
      <c r="AJ30" s="121"/>
      <c r="AK30" s="121"/>
      <c r="AL30" s="121"/>
      <c r="AM30" s="120"/>
      <c r="AN30" s="120"/>
      <c r="AO30" s="120"/>
      <c r="AP30" s="120"/>
      <c r="AQ30" s="121"/>
      <c r="AR30" s="121"/>
      <c r="AS30" s="121"/>
      <c r="AT30" s="121"/>
      <c r="AU30" s="120"/>
      <c r="AV30" s="120"/>
      <c r="AW30" s="120"/>
      <c r="AX30" s="120"/>
      <c r="AY30" s="121"/>
      <c r="AZ30" s="121"/>
      <c r="BA30" s="121"/>
      <c r="BB30" s="121"/>
      <c r="BC30" s="120"/>
      <c r="BD30" s="120"/>
      <c r="BE30" s="120"/>
      <c r="BF30" s="120"/>
      <c r="BG30" s="121"/>
      <c r="BH30" s="121"/>
      <c r="BI30" s="121"/>
      <c r="BJ30" s="121"/>
      <c r="BK30" s="120"/>
      <c r="BL30" s="120"/>
      <c r="BM30" s="120"/>
      <c r="BN30" s="122"/>
    </row>
    <row r="31" spans="2:66" ht="19.5" customHeight="1" thickTop="1" thickBot="1">
      <c r="B31" s="217" t="s">
        <v>0</v>
      </c>
      <c r="C31" s="218"/>
      <c r="D31" s="211">
        <f>SUM(D5:D30)</f>
        <v>466</v>
      </c>
      <c r="E31" s="213">
        <f>SUM(E5:E30)</f>
        <v>28</v>
      </c>
      <c r="F31" s="119">
        <f>SUM(F5:F30)</f>
        <v>51</v>
      </c>
      <c r="G31" s="120">
        <f t="shared" ref="G31:BN31" si="2">SUM(G5:G30)</f>
        <v>14</v>
      </c>
      <c r="H31" s="120">
        <f t="shared" si="2"/>
        <v>15</v>
      </c>
      <c r="I31" s="120">
        <f t="shared" si="2"/>
        <v>14</v>
      </c>
      <c r="J31" s="120">
        <f t="shared" si="2"/>
        <v>14</v>
      </c>
      <c r="K31" s="121">
        <f t="shared" si="2"/>
        <v>17</v>
      </c>
      <c r="L31" s="121">
        <f t="shared" si="2"/>
        <v>12</v>
      </c>
      <c r="M31" s="121">
        <f t="shared" si="2"/>
        <v>16</v>
      </c>
      <c r="N31" s="121">
        <f t="shared" si="2"/>
        <v>9</v>
      </c>
      <c r="O31" s="120">
        <f t="shared" si="2"/>
        <v>8</v>
      </c>
      <c r="P31" s="120">
        <f t="shared" si="2"/>
        <v>11</v>
      </c>
      <c r="Q31" s="120">
        <f t="shared" si="2"/>
        <v>14</v>
      </c>
      <c r="R31" s="120">
        <f t="shared" si="2"/>
        <v>11</v>
      </c>
      <c r="S31" s="121">
        <f t="shared" si="2"/>
        <v>14</v>
      </c>
      <c r="T31" s="121">
        <f t="shared" si="2"/>
        <v>13</v>
      </c>
      <c r="U31" s="121">
        <f t="shared" si="2"/>
        <v>3</v>
      </c>
      <c r="V31" s="121">
        <f t="shared" si="2"/>
        <v>5</v>
      </c>
      <c r="W31" s="120">
        <f t="shared" si="2"/>
        <v>12</v>
      </c>
      <c r="X31" s="120">
        <f t="shared" si="2"/>
        <v>10</v>
      </c>
      <c r="Y31" s="120">
        <f t="shared" si="2"/>
        <v>5</v>
      </c>
      <c r="Z31" s="120">
        <f t="shared" si="2"/>
        <v>11</v>
      </c>
      <c r="AA31" s="121">
        <f t="shared" si="2"/>
        <v>10</v>
      </c>
      <c r="AB31" s="121">
        <f t="shared" si="2"/>
        <v>9</v>
      </c>
      <c r="AC31" s="121">
        <f t="shared" si="2"/>
        <v>12</v>
      </c>
      <c r="AD31" s="121">
        <f t="shared" si="2"/>
        <v>10</v>
      </c>
      <c r="AE31" s="120">
        <f t="shared" si="2"/>
        <v>15</v>
      </c>
      <c r="AF31" s="120">
        <f t="shared" si="2"/>
        <v>6</v>
      </c>
      <c r="AG31" s="120">
        <f t="shared" si="2"/>
        <v>9</v>
      </c>
      <c r="AH31" s="120">
        <f t="shared" si="2"/>
        <v>20</v>
      </c>
      <c r="AI31" s="121">
        <f t="shared" si="2"/>
        <v>11</v>
      </c>
      <c r="AJ31" s="121">
        <f t="shared" si="2"/>
        <v>8</v>
      </c>
      <c r="AK31" s="121">
        <f t="shared" si="2"/>
        <v>13</v>
      </c>
      <c r="AL31" s="121">
        <f t="shared" si="2"/>
        <v>13</v>
      </c>
      <c r="AM31" s="120">
        <f t="shared" si="2"/>
        <v>10</v>
      </c>
      <c r="AN31" s="120">
        <f t="shared" si="2"/>
        <v>13</v>
      </c>
      <c r="AO31" s="120">
        <f t="shared" si="2"/>
        <v>13</v>
      </c>
      <c r="AP31" s="120">
        <f t="shared" si="2"/>
        <v>15</v>
      </c>
      <c r="AQ31" s="121">
        <f t="shared" si="2"/>
        <v>9</v>
      </c>
      <c r="AR31" s="121">
        <f t="shared" si="2"/>
        <v>11</v>
      </c>
      <c r="AS31" s="121">
        <f t="shared" si="2"/>
        <v>6</v>
      </c>
      <c r="AT31" s="121">
        <f t="shared" si="2"/>
        <v>2</v>
      </c>
      <c r="AU31" s="120">
        <f t="shared" si="2"/>
        <v>0</v>
      </c>
      <c r="AV31" s="120">
        <f t="shared" si="2"/>
        <v>0</v>
      </c>
      <c r="AW31" s="120">
        <f t="shared" si="2"/>
        <v>0</v>
      </c>
      <c r="AX31" s="120">
        <f t="shared" si="2"/>
        <v>0</v>
      </c>
      <c r="AY31" s="121">
        <f t="shared" si="2"/>
        <v>0</v>
      </c>
      <c r="AZ31" s="121">
        <f t="shared" si="2"/>
        <v>0</v>
      </c>
      <c r="BA31" s="121">
        <f t="shared" si="2"/>
        <v>0</v>
      </c>
      <c r="BB31" s="121">
        <f t="shared" si="2"/>
        <v>0</v>
      </c>
      <c r="BC31" s="120">
        <f t="shared" si="2"/>
        <v>0</v>
      </c>
      <c r="BD31" s="120">
        <f t="shared" si="2"/>
        <v>0</v>
      </c>
      <c r="BE31" s="120">
        <f t="shared" si="2"/>
        <v>0</v>
      </c>
      <c r="BF31" s="120">
        <f t="shared" si="2"/>
        <v>0</v>
      </c>
      <c r="BG31" s="121">
        <f t="shared" si="2"/>
        <v>0</v>
      </c>
      <c r="BH31" s="121">
        <f t="shared" si="2"/>
        <v>0</v>
      </c>
      <c r="BI31" s="121">
        <f t="shared" si="2"/>
        <v>0</v>
      </c>
      <c r="BJ31" s="121">
        <f t="shared" si="2"/>
        <v>0</v>
      </c>
      <c r="BK31" s="120">
        <f t="shared" si="2"/>
        <v>0</v>
      </c>
      <c r="BL31" s="120">
        <f t="shared" si="2"/>
        <v>0</v>
      </c>
      <c r="BM31" s="120">
        <f t="shared" si="2"/>
        <v>0</v>
      </c>
      <c r="BN31" s="122">
        <f t="shared" si="2"/>
        <v>0</v>
      </c>
    </row>
    <row r="32" spans="2:66" ht="19.5" customHeight="1" thickTop="1" thickBot="1">
      <c r="B32" s="132"/>
      <c r="C32" s="133"/>
      <c r="D32" s="212"/>
      <c r="E32" s="214"/>
      <c r="F32" s="119">
        <f>SUM(F5:F23)</f>
        <v>51</v>
      </c>
      <c r="G32" s="209">
        <f>SUM(G31:J31)</f>
        <v>57</v>
      </c>
      <c r="H32" s="209"/>
      <c r="I32" s="209"/>
      <c r="J32" s="209"/>
      <c r="K32" s="208">
        <f t="shared" ref="K32" si="3">SUM(K31:N31)</f>
        <v>54</v>
      </c>
      <c r="L32" s="208"/>
      <c r="M32" s="208"/>
      <c r="N32" s="208"/>
      <c r="O32" s="209">
        <f t="shared" ref="O32" si="4">SUM(O31:R31)</f>
        <v>44</v>
      </c>
      <c r="P32" s="209"/>
      <c r="Q32" s="209"/>
      <c r="R32" s="209"/>
      <c r="S32" s="208">
        <f t="shared" ref="S32" si="5">SUM(S31:V31)</f>
        <v>35</v>
      </c>
      <c r="T32" s="208"/>
      <c r="U32" s="208"/>
      <c r="V32" s="208"/>
      <c r="W32" s="209">
        <f t="shared" ref="W32" si="6">SUM(W31:Z31)</f>
        <v>38</v>
      </c>
      <c r="X32" s="209"/>
      <c r="Y32" s="209"/>
      <c r="Z32" s="209"/>
      <c r="AA32" s="208">
        <f t="shared" ref="AA32" si="7">SUM(AA31:AD31)</f>
        <v>41</v>
      </c>
      <c r="AB32" s="208"/>
      <c r="AC32" s="208"/>
      <c r="AD32" s="208"/>
      <c r="AE32" s="209">
        <f t="shared" ref="AE32" si="8">SUM(AE31:AH31)</f>
        <v>50</v>
      </c>
      <c r="AF32" s="209"/>
      <c r="AG32" s="209"/>
      <c r="AH32" s="209"/>
      <c r="AI32" s="208">
        <f t="shared" ref="AI32" si="9">SUM(AI31:AL31)</f>
        <v>45</v>
      </c>
      <c r="AJ32" s="208"/>
      <c r="AK32" s="208"/>
      <c r="AL32" s="208"/>
      <c r="AM32" s="209">
        <f t="shared" ref="AM32" si="10">SUM(AM31:AP31)</f>
        <v>51</v>
      </c>
      <c r="AN32" s="209"/>
      <c r="AO32" s="209"/>
      <c r="AP32" s="209"/>
      <c r="AQ32" s="208">
        <f t="shared" ref="AQ32" si="11">SUM(AQ31:AT31)</f>
        <v>28</v>
      </c>
      <c r="AR32" s="208"/>
      <c r="AS32" s="208"/>
      <c r="AT32" s="208"/>
      <c r="AU32" s="209">
        <f t="shared" ref="AU32" si="12">SUM(AU31:AX31)</f>
        <v>0</v>
      </c>
      <c r="AV32" s="209"/>
      <c r="AW32" s="209"/>
      <c r="AX32" s="209"/>
      <c r="AY32" s="208">
        <f t="shared" ref="AY32" si="13">SUM(AY31:BB31)</f>
        <v>0</v>
      </c>
      <c r="AZ32" s="208"/>
      <c r="BA32" s="208"/>
      <c r="BB32" s="208"/>
      <c r="BC32" s="209">
        <f t="shared" ref="BC32" si="14">SUM(BC31:BF31)</f>
        <v>0</v>
      </c>
      <c r="BD32" s="209"/>
      <c r="BE32" s="209"/>
      <c r="BF32" s="209"/>
      <c r="BG32" s="208">
        <f t="shared" ref="BG32" si="15">SUM(BG31:BJ31)</f>
        <v>0</v>
      </c>
      <c r="BH32" s="208"/>
      <c r="BI32" s="208"/>
      <c r="BJ32" s="208"/>
      <c r="BK32" s="209">
        <f>SUM(BK31:BN31)</f>
        <v>0</v>
      </c>
      <c r="BL32" s="209"/>
      <c r="BM32" s="209"/>
      <c r="BN32" s="210"/>
    </row>
    <row r="33" ht="19.5" customHeight="1" thickTop="1"/>
  </sheetData>
  <mergeCells count="36">
    <mergeCell ref="AM3:AP3"/>
    <mergeCell ref="AQ3:AT3"/>
    <mergeCell ref="B31:C31"/>
    <mergeCell ref="G3:J3"/>
    <mergeCell ref="K3:N3"/>
    <mergeCell ref="O3:R3"/>
    <mergeCell ref="S3:V3"/>
    <mergeCell ref="D3:D4"/>
    <mergeCell ref="E3:E4"/>
    <mergeCell ref="F3:F4"/>
    <mergeCell ref="W32:Z32"/>
    <mergeCell ref="W3:Z3"/>
    <mergeCell ref="AA3:AD3"/>
    <mergeCell ref="AE3:AH3"/>
    <mergeCell ref="AI3:AL3"/>
    <mergeCell ref="AU3:AX3"/>
    <mergeCell ref="AY3:BB3"/>
    <mergeCell ref="BC3:BF3"/>
    <mergeCell ref="BG3:BJ3"/>
    <mergeCell ref="BK3:BN3"/>
    <mergeCell ref="AY32:BB32"/>
    <mergeCell ref="BC32:BF32"/>
    <mergeCell ref="BG32:BJ32"/>
    <mergeCell ref="BK32:BN32"/>
    <mergeCell ref="D31:D32"/>
    <mergeCell ref="E31:E32"/>
    <mergeCell ref="AA32:AD32"/>
    <mergeCell ref="AE32:AH32"/>
    <mergeCell ref="AI32:AL32"/>
    <mergeCell ref="AM32:AP32"/>
    <mergeCell ref="AQ32:AT32"/>
    <mergeCell ref="AU32:AX32"/>
    <mergeCell ref="G32:J32"/>
    <mergeCell ref="K32:N32"/>
    <mergeCell ref="O32:R32"/>
    <mergeCell ref="S32:V32"/>
  </mergeCells>
  <phoneticPr fontId="2"/>
  <conditionalFormatting sqref="D5:D30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{2DCF9250-4E13-4C8E-966F-2A8282892CEB}</x14:id>
        </ext>
      </extLst>
    </cfRule>
  </conditionalFormatting>
  <conditionalFormatting sqref="E5:E30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{B0B05C62-13FB-4077-B609-4CB6321ADC45}</x14:id>
        </ext>
      </extLst>
    </cfRule>
  </conditionalFormatting>
  <conditionalFormatting sqref="E5:E30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{9D9EB8CD-5018-4ABD-A0C2-D4F8091B7885}</x14:id>
        </ext>
      </extLst>
    </cfRule>
  </conditionalFormatting>
  <conditionalFormatting sqref="F5:BN2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CF9250-4E13-4C8E-966F-2A8282892CE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D5:D30</xm:sqref>
        </x14:conditionalFormatting>
        <x14:conditionalFormatting xmlns:xm="http://schemas.microsoft.com/office/excel/2006/main">
          <x14:cfRule type="dataBar" id="{B0B05C62-13FB-4077-B609-4CB6321ADC4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E5:E30</xm:sqref>
        </x14:conditionalFormatting>
        <x14:conditionalFormatting xmlns:xm="http://schemas.microsoft.com/office/excel/2006/main">
          <x14:cfRule type="dataBar" id="{9D9EB8CD-5018-4ABD-A0C2-D4F8091B78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E5:E30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B0A3C-0FB9-4F65-A861-52D351A103E9}">
  <sheetPr codeName="Sheet2"/>
  <dimension ref="A2:U31"/>
  <sheetViews>
    <sheetView zoomScaleNormal="100" workbookViewId="0">
      <selection activeCell="I4" sqref="I4"/>
    </sheetView>
  </sheetViews>
  <sheetFormatPr defaultColWidth="4.125" defaultRowHeight="15.75"/>
  <cols>
    <col min="1" max="1" width="3.5" style="1" customWidth="1"/>
    <col min="2" max="3" width="7.625" style="1" customWidth="1"/>
    <col min="4" max="5" width="10" style="1" customWidth="1"/>
    <col min="6" max="21" width="8.375" style="1" customWidth="1"/>
    <col min="22" max="16384" width="4.125" style="1"/>
  </cols>
  <sheetData>
    <row r="2" spans="1:21" ht="16.5">
      <c r="A2" s="141"/>
      <c r="B2" s="141" t="s">
        <v>148</v>
      </c>
      <c r="C2" s="141"/>
      <c r="D2" s="141"/>
    </row>
    <row r="3" spans="1:21" ht="51" customHeight="1" thickBot="1">
      <c r="B3" s="222" t="s">
        <v>123</v>
      </c>
      <c r="C3" s="222"/>
      <c r="D3" s="145" t="s">
        <v>139</v>
      </c>
      <c r="E3" s="146" t="s">
        <v>140</v>
      </c>
      <c r="F3" s="146" t="s">
        <v>130</v>
      </c>
      <c r="G3" s="147" t="s">
        <v>166</v>
      </c>
      <c r="H3" s="147" t="s">
        <v>132</v>
      </c>
      <c r="I3" s="147" t="s">
        <v>133</v>
      </c>
      <c r="J3" s="147" t="s">
        <v>147</v>
      </c>
      <c r="K3" s="147" t="s">
        <v>134</v>
      </c>
      <c r="L3" s="147" t="s">
        <v>135</v>
      </c>
      <c r="M3" s="147" t="s">
        <v>136</v>
      </c>
      <c r="N3" s="147" t="s">
        <v>137</v>
      </c>
      <c r="O3" s="147" t="s">
        <v>138</v>
      </c>
      <c r="P3" s="147" t="s">
        <v>141</v>
      </c>
      <c r="Q3" s="147" t="s">
        <v>142</v>
      </c>
      <c r="R3" s="147" t="s">
        <v>143</v>
      </c>
      <c r="S3" s="147" t="s">
        <v>144</v>
      </c>
      <c r="T3" s="147" t="s">
        <v>145</v>
      </c>
      <c r="U3" s="147" t="s">
        <v>146</v>
      </c>
    </row>
    <row r="4" spans="1:21" ht="21" customHeight="1" thickTop="1" thickBot="1">
      <c r="B4" s="148" t="str">
        <f>詳細!B5</f>
        <v>大塚悠司</v>
      </c>
      <c r="C4" s="148"/>
      <c r="D4" s="149">
        <f>詳細!D5</f>
        <v>66</v>
      </c>
      <c r="E4" s="150">
        <f>詳細!E5</f>
        <v>4</v>
      </c>
      <c r="F4" s="151">
        <f>詳細!F5</f>
        <v>0</v>
      </c>
      <c r="G4" s="152">
        <f>SUM(詳細!$G5:$J5)</f>
        <v>17</v>
      </c>
      <c r="H4" s="151">
        <f>SUM(詳細!$K5:$N5)</f>
        <v>11</v>
      </c>
      <c r="I4" s="152">
        <f>SUM(詳細!$O5:$R5)</f>
        <v>4</v>
      </c>
      <c r="J4" s="151">
        <f>SUM(詳細!$S5:$V5)</f>
        <v>5</v>
      </c>
      <c r="K4" s="152">
        <f>SUM(詳細!$W5:$Z5)</f>
        <v>2</v>
      </c>
      <c r="L4" s="151">
        <f>SUM(詳細!$AA5:$AD5)</f>
        <v>1</v>
      </c>
      <c r="M4" s="152">
        <f>SUM(詳細!$AE5:$AH5)</f>
        <v>8</v>
      </c>
      <c r="N4" s="151">
        <f>SUM(詳細!$AI5:$AL5)</f>
        <v>7</v>
      </c>
      <c r="O4" s="152">
        <f>SUM(詳細!$AM5:$AP5)</f>
        <v>11</v>
      </c>
      <c r="P4" s="151">
        <f>SUM(詳細!$AQ5:$AT5)</f>
        <v>4</v>
      </c>
      <c r="Q4" s="152">
        <f>SUM(詳細!$AU5:$AX5)</f>
        <v>0</v>
      </c>
      <c r="R4" s="151">
        <f>SUM(詳細!$AY5:$BB5)</f>
        <v>0</v>
      </c>
      <c r="S4" s="152">
        <f>SUM(詳細!$BC5:$BF5)</f>
        <v>0</v>
      </c>
      <c r="T4" s="151">
        <f>SUM(詳細!$BG5:$BJ5)</f>
        <v>0</v>
      </c>
      <c r="U4" s="152">
        <f>SUM(詳細!$BK5:$BN5)</f>
        <v>0</v>
      </c>
    </row>
    <row r="5" spans="1:21" ht="21" customHeight="1" thickTop="1" thickBot="1">
      <c r="B5" s="148" t="str">
        <f>詳細!B6</f>
        <v>船見毅</v>
      </c>
      <c r="C5" s="148"/>
      <c r="D5" s="149">
        <f>詳細!D6</f>
        <v>18</v>
      </c>
      <c r="E5" s="150">
        <f>詳細!E6</f>
        <v>0</v>
      </c>
      <c r="F5" s="151">
        <f>詳細!F6</f>
        <v>18</v>
      </c>
      <c r="G5" s="152">
        <f>SUM(詳細!$G6:$J6)</f>
        <v>0</v>
      </c>
      <c r="H5" s="151">
        <f>SUM(詳細!$K6:$N6)</f>
        <v>0</v>
      </c>
      <c r="I5" s="152">
        <f>SUM(詳細!$O6:$R6)</f>
        <v>0</v>
      </c>
      <c r="J5" s="151">
        <f>SUM(詳細!$S6:$V6)</f>
        <v>0</v>
      </c>
      <c r="K5" s="152">
        <f>SUM(詳細!$W6:$Z6)</f>
        <v>0</v>
      </c>
      <c r="L5" s="151">
        <f>SUM(詳細!$AA6:$AD6)</f>
        <v>0</v>
      </c>
      <c r="M5" s="152">
        <f>SUM(詳細!$AE6:$AH6)</f>
        <v>0</v>
      </c>
      <c r="N5" s="151">
        <f>SUM(詳細!$AI6:$AL6)</f>
        <v>0</v>
      </c>
      <c r="O5" s="152">
        <f>SUM(詳細!$AM6:$AP6)</f>
        <v>0</v>
      </c>
      <c r="P5" s="151">
        <f>SUM(詳細!$AQ6:$AT6)</f>
        <v>0</v>
      </c>
      <c r="Q5" s="152">
        <f>SUM(詳細!$AU6:$AX6)</f>
        <v>0</v>
      </c>
      <c r="R5" s="151">
        <f>SUM(詳細!$AY6:$BB6)</f>
        <v>0</v>
      </c>
      <c r="S5" s="152">
        <f>SUM(詳細!$BC6:$BF6)</f>
        <v>0</v>
      </c>
      <c r="T5" s="151">
        <f>SUM(詳細!$BG6:$BJ6)</f>
        <v>0</v>
      </c>
      <c r="U5" s="152">
        <f>SUM(詳細!$BK6:$BN6)</f>
        <v>0</v>
      </c>
    </row>
    <row r="6" spans="1:21" ht="21" customHeight="1" thickTop="1" thickBot="1">
      <c r="B6" s="148" t="str">
        <f>詳細!B7</f>
        <v>遠藤早織</v>
      </c>
      <c r="C6" s="148"/>
      <c r="D6" s="149">
        <f>詳細!D7</f>
        <v>23</v>
      </c>
      <c r="E6" s="150">
        <f>詳細!E7</f>
        <v>7</v>
      </c>
      <c r="F6" s="151">
        <f>詳細!F7</f>
        <v>0</v>
      </c>
      <c r="G6" s="152">
        <f>SUM(詳細!$G7:$J7)</f>
        <v>0</v>
      </c>
      <c r="H6" s="151">
        <f>SUM(詳細!$K7:$N7)</f>
        <v>0</v>
      </c>
      <c r="I6" s="152">
        <f>SUM(詳細!$O7:$R7)</f>
        <v>0</v>
      </c>
      <c r="J6" s="151">
        <f>SUM(詳細!$S7:$V7)</f>
        <v>0</v>
      </c>
      <c r="K6" s="152">
        <f>SUM(詳細!$W7:$Z7)</f>
        <v>0</v>
      </c>
      <c r="L6" s="151">
        <f>SUM(詳細!$AA7:$AD7)</f>
        <v>7</v>
      </c>
      <c r="M6" s="152">
        <f>SUM(詳細!$AE7:$AH7)</f>
        <v>8</v>
      </c>
      <c r="N6" s="151">
        <f>SUM(詳細!$AI7:$AL7)</f>
        <v>0</v>
      </c>
      <c r="O6" s="152">
        <f>SUM(詳細!$AM7:$AP7)</f>
        <v>8</v>
      </c>
      <c r="P6" s="151">
        <f>SUM(詳細!$AQ7:$AT7)</f>
        <v>7</v>
      </c>
      <c r="Q6" s="152">
        <f>SUM(詳細!$AU7:$AX7)</f>
        <v>0</v>
      </c>
      <c r="R6" s="151">
        <f>SUM(詳細!$AY7:$BB7)</f>
        <v>0</v>
      </c>
      <c r="S6" s="152">
        <f>SUM(詳細!$BC7:$BF7)</f>
        <v>0</v>
      </c>
      <c r="T6" s="151">
        <f>SUM(詳細!$BG7:$BJ7)</f>
        <v>0</v>
      </c>
      <c r="U6" s="152">
        <f>SUM(詳細!$BK7:$BN7)</f>
        <v>0</v>
      </c>
    </row>
    <row r="7" spans="1:21" ht="21" customHeight="1" thickTop="1" thickBot="1">
      <c r="B7" s="148" t="str">
        <f>詳細!B8</f>
        <v>原小海</v>
      </c>
      <c r="C7" s="148"/>
      <c r="D7" s="149">
        <f>詳細!D8</f>
        <v>28</v>
      </c>
      <c r="E7" s="150">
        <f>詳細!E8</f>
        <v>0</v>
      </c>
      <c r="F7" s="151">
        <f>詳細!F8</f>
        <v>0</v>
      </c>
      <c r="G7" s="152">
        <f>SUM(詳細!$G8:$J8)</f>
        <v>1</v>
      </c>
      <c r="H7" s="151">
        <f>SUM(詳細!$K8:$N8)</f>
        <v>6</v>
      </c>
      <c r="I7" s="152">
        <f>SUM(詳細!$O8:$R8)</f>
        <v>10</v>
      </c>
      <c r="J7" s="151">
        <f>SUM(詳細!$S8:$V8)</f>
        <v>5</v>
      </c>
      <c r="K7" s="152">
        <f>SUM(詳細!$W8:$Z8)</f>
        <v>6</v>
      </c>
      <c r="L7" s="151">
        <f>SUM(詳細!$AA8:$AD8)</f>
        <v>0</v>
      </c>
      <c r="M7" s="152">
        <f>SUM(詳細!$AE8:$AH8)</f>
        <v>0</v>
      </c>
      <c r="N7" s="151">
        <f>SUM(詳細!$AI8:$AL8)</f>
        <v>0</v>
      </c>
      <c r="O7" s="152">
        <f>SUM(詳細!$AM8:$AP8)</f>
        <v>0</v>
      </c>
      <c r="P7" s="151">
        <f>SUM(詳細!$AQ8:$AT8)</f>
        <v>0</v>
      </c>
      <c r="Q7" s="152">
        <f>SUM(詳細!$AU8:$AX8)</f>
        <v>0</v>
      </c>
      <c r="R7" s="151">
        <f>SUM(詳細!$AY8:$BB8)</f>
        <v>0</v>
      </c>
      <c r="S7" s="152">
        <f>SUM(詳細!$BC8:$BF8)</f>
        <v>0</v>
      </c>
      <c r="T7" s="151">
        <f>SUM(詳細!$BG8:$BJ8)</f>
        <v>0</v>
      </c>
      <c r="U7" s="152">
        <f>SUM(詳細!$BK8:$BN8)</f>
        <v>0</v>
      </c>
    </row>
    <row r="8" spans="1:21" ht="21" customHeight="1" thickTop="1" thickBot="1">
      <c r="B8" s="148" t="str">
        <f>詳細!B9</f>
        <v>宮本梓</v>
      </c>
      <c r="C8" s="148"/>
      <c r="D8" s="149">
        <f>詳細!D9</f>
        <v>46</v>
      </c>
      <c r="E8" s="150">
        <f>詳細!E9</f>
        <v>0</v>
      </c>
      <c r="F8" s="151">
        <f>詳細!F9</f>
        <v>0</v>
      </c>
      <c r="G8" s="152">
        <f>SUM(詳細!$G9:$J9)</f>
        <v>10</v>
      </c>
      <c r="H8" s="151">
        <f>SUM(詳細!$K9:$N9)</f>
        <v>7</v>
      </c>
      <c r="I8" s="152">
        <f>SUM(詳細!$O9:$R9)</f>
        <v>6</v>
      </c>
      <c r="J8" s="151">
        <f>SUM(詳細!$S9:$V9)</f>
        <v>8</v>
      </c>
      <c r="K8" s="152">
        <f>SUM(詳細!$W9:$Z9)</f>
        <v>0</v>
      </c>
      <c r="L8" s="151">
        <f>SUM(詳細!$AA9:$AD9)</f>
        <v>4</v>
      </c>
      <c r="M8" s="152">
        <f>SUM(詳細!$AE9:$AH9)</f>
        <v>5</v>
      </c>
      <c r="N8" s="151">
        <f>SUM(詳細!$AI9:$AL9)</f>
        <v>6</v>
      </c>
      <c r="O8" s="152">
        <f>SUM(詳細!$AM9:$AP9)</f>
        <v>0</v>
      </c>
      <c r="P8" s="151">
        <f>SUM(詳細!$AQ9:$AT9)</f>
        <v>0</v>
      </c>
      <c r="Q8" s="152">
        <f>SUM(詳細!$AU9:$AX9)</f>
        <v>0</v>
      </c>
      <c r="R8" s="151">
        <f>SUM(詳細!$AY9:$BB9)</f>
        <v>0</v>
      </c>
      <c r="S8" s="152">
        <f>SUM(詳細!$BC9:$BF9)</f>
        <v>0</v>
      </c>
      <c r="T8" s="151">
        <f>SUM(詳細!$BG9:$BJ9)</f>
        <v>0</v>
      </c>
      <c r="U8" s="152">
        <f>SUM(詳細!$BK9:$BN9)</f>
        <v>0</v>
      </c>
    </row>
    <row r="9" spans="1:21" ht="21" customHeight="1" thickTop="1" thickBot="1">
      <c r="B9" s="148" t="str">
        <f>詳細!B10</f>
        <v>津久井理恵</v>
      </c>
      <c r="C9" s="148"/>
      <c r="D9" s="149">
        <f>詳細!D10</f>
        <v>38</v>
      </c>
      <c r="E9" s="150">
        <f>詳細!E10</f>
        <v>0</v>
      </c>
      <c r="F9" s="151">
        <f>詳細!F10</f>
        <v>7</v>
      </c>
      <c r="G9" s="152">
        <f>SUM(詳細!$G10:$J10)</f>
        <v>9</v>
      </c>
      <c r="H9" s="151">
        <f>SUM(詳細!$K10:$N10)</f>
        <v>7</v>
      </c>
      <c r="I9" s="152">
        <f>SUM(詳細!$O10:$R10)</f>
        <v>7</v>
      </c>
      <c r="J9" s="151">
        <f>SUM(詳細!$S10:$V10)</f>
        <v>2</v>
      </c>
      <c r="K9" s="152">
        <f>SUM(詳細!$W10:$Z10)</f>
        <v>0</v>
      </c>
      <c r="L9" s="151">
        <f>SUM(詳細!$AA10:$AD10)</f>
        <v>0</v>
      </c>
      <c r="M9" s="152">
        <f>SUM(詳細!$AE10:$AH10)</f>
        <v>0</v>
      </c>
      <c r="N9" s="151">
        <f>SUM(詳細!$AI10:$AL10)</f>
        <v>6</v>
      </c>
      <c r="O9" s="152">
        <f>SUM(詳細!$AM10:$AP10)</f>
        <v>0</v>
      </c>
      <c r="P9" s="151">
        <f>SUM(詳細!$AQ10:$AT10)</f>
        <v>0</v>
      </c>
      <c r="Q9" s="152">
        <f>SUM(詳細!$AU10:$AX10)</f>
        <v>0</v>
      </c>
      <c r="R9" s="151">
        <f>SUM(詳細!$AY10:$BB10)</f>
        <v>0</v>
      </c>
      <c r="S9" s="152">
        <f>SUM(詳細!$BC10:$BF10)</f>
        <v>0</v>
      </c>
      <c r="T9" s="151">
        <f>SUM(詳細!$BG10:$BJ10)</f>
        <v>0</v>
      </c>
      <c r="U9" s="152">
        <f>SUM(詳細!$BK10:$BN10)</f>
        <v>0</v>
      </c>
    </row>
    <row r="10" spans="1:21" ht="21" customHeight="1" thickTop="1" thickBot="1">
      <c r="B10" s="148" t="str">
        <f>詳細!B11</f>
        <v>相田末歩</v>
      </c>
      <c r="C10" s="148"/>
      <c r="D10" s="149">
        <f>詳細!D11</f>
        <v>16</v>
      </c>
      <c r="E10" s="150">
        <f>詳細!E11</f>
        <v>0</v>
      </c>
      <c r="F10" s="151">
        <f>詳細!F11</f>
        <v>12</v>
      </c>
      <c r="G10" s="152">
        <f>SUM(詳細!$G11:$J11)</f>
        <v>2</v>
      </c>
      <c r="H10" s="151">
        <f>SUM(詳細!$K11:$N11)</f>
        <v>1</v>
      </c>
      <c r="I10" s="152">
        <f>SUM(詳細!$O11:$R11)</f>
        <v>1</v>
      </c>
      <c r="J10" s="151">
        <f>SUM(詳細!$S11:$V11)</f>
        <v>0</v>
      </c>
      <c r="K10" s="152">
        <f>SUM(詳細!$W11:$Z11)</f>
        <v>0</v>
      </c>
      <c r="L10" s="151">
        <f>SUM(詳細!$AA11:$AD11)</f>
        <v>0</v>
      </c>
      <c r="M10" s="152">
        <f>SUM(詳細!$AE11:$AH11)</f>
        <v>0</v>
      </c>
      <c r="N10" s="151">
        <f>SUM(詳細!$AI11:$AL11)</f>
        <v>0</v>
      </c>
      <c r="O10" s="152">
        <f>SUM(詳細!$AM11:$AP11)</f>
        <v>0</v>
      </c>
      <c r="P10" s="151">
        <f>SUM(詳細!$AQ11:$AT11)</f>
        <v>0</v>
      </c>
      <c r="Q10" s="152">
        <f>SUM(詳細!$AU11:$AX11)</f>
        <v>0</v>
      </c>
      <c r="R10" s="151">
        <f>SUM(詳細!$AY11:$BB11)</f>
        <v>0</v>
      </c>
      <c r="S10" s="152">
        <f>SUM(詳細!$BC11:$BF11)</f>
        <v>0</v>
      </c>
      <c r="T10" s="151">
        <f>SUM(詳細!$BG11:$BJ11)</f>
        <v>0</v>
      </c>
      <c r="U10" s="152">
        <f>SUM(詳細!$BK11:$BN11)</f>
        <v>0</v>
      </c>
    </row>
    <row r="11" spans="1:21" ht="21" customHeight="1" thickTop="1" thickBot="1">
      <c r="B11" s="148" t="str">
        <f>詳細!B12</f>
        <v>竹渕加奈</v>
      </c>
      <c r="C11" s="148"/>
      <c r="D11" s="149">
        <f>詳細!D12</f>
        <v>52</v>
      </c>
      <c r="E11" s="150">
        <f>詳細!E12</f>
        <v>6</v>
      </c>
      <c r="F11" s="151">
        <f>詳細!F12</f>
        <v>0</v>
      </c>
      <c r="G11" s="152">
        <f>SUM(詳細!$G12:$J12)</f>
        <v>0</v>
      </c>
      <c r="H11" s="151">
        <f>SUM(詳細!$K12:$N12)</f>
        <v>0</v>
      </c>
      <c r="I11" s="152">
        <f>SUM(詳細!$O12:$R12)</f>
        <v>12</v>
      </c>
      <c r="J11" s="151">
        <f>SUM(詳細!$S12:$V12)</f>
        <v>8</v>
      </c>
      <c r="K11" s="152">
        <f>SUM(詳細!$W12:$Z12)</f>
        <v>7</v>
      </c>
      <c r="L11" s="151">
        <f>SUM(詳細!$AA12:$AD12)</f>
        <v>0</v>
      </c>
      <c r="M11" s="152">
        <f>SUM(詳細!$AE12:$AH12)</f>
        <v>5</v>
      </c>
      <c r="N11" s="151">
        <f>SUM(詳細!$AI12:$AL12)</f>
        <v>8</v>
      </c>
      <c r="O11" s="152">
        <f>SUM(詳細!$AM12:$AP12)</f>
        <v>12</v>
      </c>
      <c r="P11" s="151">
        <f>SUM(詳細!$AQ12:$AT12)</f>
        <v>6</v>
      </c>
      <c r="Q11" s="152">
        <f>SUM(詳細!$AU12:$AX12)</f>
        <v>0</v>
      </c>
      <c r="R11" s="151">
        <f>SUM(詳細!$AY12:$BB12)</f>
        <v>0</v>
      </c>
      <c r="S11" s="152">
        <f>SUM(詳細!$BC12:$BF12)</f>
        <v>0</v>
      </c>
      <c r="T11" s="151">
        <f>SUM(詳細!$BG12:$BJ12)</f>
        <v>0</v>
      </c>
      <c r="U11" s="152">
        <f>SUM(詳細!$BK12:$BN12)</f>
        <v>0</v>
      </c>
    </row>
    <row r="12" spans="1:21" ht="21" customHeight="1" thickTop="1" thickBot="1">
      <c r="B12" s="148" t="str">
        <f>詳細!B13</f>
        <v>横田正則</v>
      </c>
      <c r="C12" s="148"/>
      <c r="D12" s="149">
        <f>詳細!D13</f>
        <v>21</v>
      </c>
      <c r="E12" s="150">
        <f>詳細!E13</f>
        <v>4</v>
      </c>
      <c r="F12" s="151">
        <f>詳細!F13</f>
        <v>0</v>
      </c>
      <c r="G12" s="152">
        <f>SUM(詳細!$G13:$J13)</f>
        <v>0</v>
      </c>
      <c r="H12" s="151">
        <f>SUM(詳細!$K13:$N13)</f>
        <v>0</v>
      </c>
      <c r="I12" s="152">
        <f>SUM(詳細!$O13:$R13)</f>
        <v>0</v>
      </c>
      <c r="J12" s="151">
        <f>SUM(詳細!$S13:$V13)</f>
        <v>0</v>
      </c>
      <c r="K12" s="152">
        <f>SUM(詳細!$W13:$Z13)</f>
        <v>7</v>
      </c>
      <c r="L12" s="151">
        <f>SUM(詳細!$AA13:$AD13)</f>
        <v>5</v>
      </c>
      <c r="M12" s="152">
        <f>SUM(詳細!$AE13:$AH13)</f>
        <v>0</v>
      </c>
      <c r="N12" s="151">
        <f>SUM(詳細!$AI13:$AL13)</f>
        <v>4</v>
      </c>
      <c r="O12" s="152">
        <f>SUM(詳細!$AM13:$AP13)</f>
        <v>5</v>
      </c>
      <c r="P12" s="151">
        <f>SUM(詳細!$AQ13:$AT13)</f>
        <v>4</v>
      </c>
      <c r="Q12" s="152">
        <f>SUM(詳細!$AU13:$AX13)</f>
        <v>0</v>
      </c>
      <c r="R12" s="151">
        <f>SUM(詳細!$AY13:$BB13)</f>
        <v>0</v>
      </c>
      <c r="S12" s="152">
        <f>SUM(詳細!$BC13:$BF13)</f>
        <v>0</v>
      </c>
      <c r="T12" s="151">
        <f>SUM(詳細!$BG13:$BJ13)</f>
        <v>0</v>
      </c>
      <c r="U12" s="152">
        <f>SUM(詳細!$BK13:$BN13)</f>
        <v>0</v>
      </c>
    </row>
    <row r="13" spans="1:21" ht="21" customHeight="1" thickTop="1" thickBot="1">
      <c r="B13" s="148" t="str">
        <f>詳細!B14</f>
        <v>関根裕美</v>
      </c>
      <c r="C13" s="148"/>
      <c r="D13" s="149">
        <f>詳細!D14</f>
        <v>34</v>
      </c>
      <c r="E13" s="150">
        <f>詳細!E14</f>
        <v>0</v>
      </c>
      <c r="F13" s="151">
        <f>詳細!F14</f>
        <v>0</v>
      </c>
      <c r="G13" s="152">
        <f>SUM(詳細!$G14:$J14)</f>
        <v>7</v>
      </c>
      <c r="H13" s="151">
        <f>SUM(詳細!$K14:$N14)</f>
        <v>10</v>
      </c>
      <c r="I13" s="152">
        <f>SUM(詳細!$O14:$R14)</f>
        <v>4</v>
      </c>
      <c r="J13" s="151">
        <f>SUM(詳細!$S14:$V14)</f>
        <v>0</v>
      </c>
      <c r="K13" s="152">
        <f>SUM(詳細!$W14:$Z14)</f>
        <v>6</v>
      </c>
      <c r="L13" s="151">
        <f>SUM(詳細!$AA14:$AD14)</f>
        <v>3</v>
      </c>
      <c r="M13" s="152">
        <f>SUM(詳細!$AE14:$AH14)</f>
        <v>4</v>
      </c>
      <c r="N13" s="151">
        <f>SUM(詳細!$AI14:$AL14)</f>
        <v>0</v>
      </c>
      <c r="O13" s="152">
        <f>SUM(詳細!$AM14:$AP14)</f>
        <v>0</v>
      </c>
      <c r="P13" s="151">
        <f>SUM(詳細!$AQ14:$AT14)</f>
        <v>0</v>
      </c>
      <c r="Q13" s="152">
        <f>SUM(詳細!$AU14:$AX14)</f>
        <v>0</v>
      </c>
      <c r="R13" s="151">
        <f>SUM(詳細!$AY14:$BB14)</f>
        <v>0</v>
      </c>
      <c r="S13" s="152">
        <f>SUM(詳細!$BC14:$BF14)</f>
        <v>0</v>
      </c>
      <c r="T13" s="151">
        <f>SUM(詳細!$BG14:$BJ14)</f>
        <v>0</v>
      </c>
      <c r="U13" s="152">
        <f>SUM(詳細!$BK14:$BN14)</f>
        <v>0</v>
      </c>
    </row>
    <row r="14" spans="1:21" ht="21" customHeight="1" thickTop="1" thickBot="1">
      <c r="B14" s="148" t="str">
        <f>詳細!B15</f>
        <v>五十嵐健太</v>
      </c>
      <c r="C14" s="148"/>
      <c r="D14" s="149">
        <f>詳細!D15</f>
        <v>17</v>
      </c>
      <c r="E14" s="150">
        <f>詳細!E15</f>
        <v>7</v>
      </c>
      <c r="F14" s="151">
        <f>詳細!F15</f>
        <v>0</v>
      </c>
      <c r="G14" s="152">
        <f>SUM(詳細!$G15:$J15)</f>
        <v>0</v>
      </c>
      <c r="H14" s="151">
        <f>SUM(詳細!$K15:$N15)</f>
        <v>0</v>
      </c>
      <c r="I14" s="152">
        <f>SUM(詳細!$O15:$R15)</f>
        <v>0</v>
      </c>
      <c r="J14" s="151">
        <f>SUM(詳細!$S15:$V15)</f>
        <v>0</v>
      </c>
      <c r="K14" s="152">
        <f>SUM(詳細!$W15:$Z15)</f>
        <v>0</v>
      </c>
      <c r="L14" s="151">
        <f>SUM(詳細!$AA15:$AD15)</f>
        <v>7</v>
      </c>
      <c r="M14" s="152">
        <f>SUM(詳細!$AE15:$AH15)</f>
        <v>4</v>
      </c>
      <c r="N14" s="151">
        <f>SUM(詳細!$AI15:$AL15)</f>
        <v>1</v>
      </c>
      <c r="O14" s="152">
        <f>SUM(詳細!$AM15:$AP15)</f>
        <v>5</v>
      </c>
      <c r="P14" s="151">
        <f>SUM(詳細!$AQ15:$AT15)</f>
        <v>7</v>
      </c>
      <c r="Q14" s="152">
        <f>SUM(詳細!$AU15:$AX15)</f>
        <v>0</v>
      </c>
      <c r="R14" s="151">
        <f>SUM(詳細!$AY15:$BB15)</f>
        <v>0</v>
      </c>
      <c r="S14" s="152">
        <f>SUM(詳細!$BC15:$BF15)</f>
        <v>0</v>
      </c>
      <c r="T14" s="151">
        <f>SUM(詳細!$BG15:$BJ15)</f>
        <v>0</v>
      </c>
      <c r="U14" s="152">
        <f>SUM(詳細!$BK15:$BN15)</f>
        <v>0</v>
      </c>
    </row>
    <row r="15" spans="1:21" ht="21" customHeight="1" thickTop="1" thickBot="1">
      <c r="B15" s="148" t="str">
        <f>詳細!B16</f>
        <v>荒井勇紀</v>
      </c>
      <c r="C15" s="148"/>
      <c r="D15" s="149">
        <f>詳細!D16</f>
        <v>2</v>
      </c>
      <c r="E15" s="150">
        <f>詳細!E16</f>
        <v>0</v>
      </c>
      <c r="F15" s="151">
        <f>詳細!F16</f>
        <v>2</v>
      </c>
      <c r="G15" s="152">
        <f>SUM(詳細!$G16:$J16)</f>
        <v>0</v>
      </c>
      <c r="H15" s="151">
        <f>SUM(詳細!$K16:$N16)</f>
        <v>0</v>
      </c>
      <c r="I15" s="152">
        <f>SUM(詳細!$O16:$R16)</f>
        <v>0</v>
      </c>
      <c r="J15" s="151">
        <f>SUM(詳細!$S16:$V16)</f>
        <v>0</v>
      </c>
      <c r="K15" s="152">
        <f>SUM(詳細!$W16:$Z16)</f>
        <v>0</v>
      </c>
      <c r="L15" s="151">
        <f>SUM(詳細!$AA16:$AD16)</f>
        <v>0</v>
      </c>
      <c r="M15" s="152">
        <f>SUM(詳細!$AE16:$AH16)</f>
        <v>0</v>
      </c>
      <c r="N15" s="151">
        <f>SUM(詳細!$AI16:$AL16)</f>
        <v>0</v>
      </c>
      <c r="O15" s="152">
        <f>SUM(詳細!$AM16:$AP16)</f>
        <v>0</v>
      </c>
      <c r="P15" s="151">
        <f>SUM(詳細!$AQ16:$AT16)</f>
        <v>0</v>
      </c>
      <c r="Q15" s="152">
        <f>SUM(詳細!$AU16:$AX16)</f>
        <v>0</v>
      </c>
      <c r="R15" s="151">
        <f>SUM(詳細!$AY16:$BB16)</f>
        <v>0</v>
      </c>
      <c r="S15" s="152">
        <f>SUM(詳細!$BC16:$BF16)</f>
        <v>0</v>
      </c>
      <c r="T15" s="151">
        <f>SUM(詳細!$BG16:$BJ16)</f>
        <v>0</v>
      </c>
      <c r="U15" s="152">
        <f>SUM(詳細!$BK16:$BN16)</f>
        <v>0</v>
      </c>
    </row>
    <row r="16" spans="1:21" ht="21" customHeight="1" thickTop="1" thickBot="1">
      <c r="B16" s="148" t="str">
        <f>詳細!B17</f>
        <v>長島衣織</v>
      </c>
      <c r="C16" s="148"/>
      <c r="D16" s="149">
        <f>詳細!D17</f>
        <v>79</v>
      </c>
      <c r="E16" s="150">
        <f>詳細!E17</f>
        <v>0</v>
      </c>
      <c r="F16" s="151">
        <f>詳細!F17</f>
        <v>12</v>
      </c>
      <c r="G16" s="152">
        <f>SUM(詳細!$G17:$J17)</f>
        <v>11</v>
      </c>
      <c r="H16" s="151">
        <f>SUM(詳細!$K17:$N17)</f>
        <v>12</v>
      </c>
      <c r="I16" s="152">
        <f>SUM(詳細!$O17:$R17)</f>
        <v>0</v>
      </c>
      <c r="J16" s="151">
        <f>SUM(詳細!$S17:$V17)</f>
        <v>7</v>
      </c>
      <c r="K16" s="152">
        <f>SUM(詳細!$W17:$Z17)</f>
        <v>6</v>
      </c>
      <c r="L16" s="151">
        <f>SUM(詳細!$AA17:$AD17)</f>
        <v>6</v>
      </c>
      <c r="M16" s="152">
        <f>SUM(詳細!$AE17:$AH17)</f>
        <v>11</v>
      </c>
      <c r="N16" s="151">
        <f>SUM(詳細!$AI17:$AL17)</f>
        <v>7</v>
      </c>
      <c r="O16" s="152">
        <f>SUM(詳細!$AM17:$AP17)</f>
        <v>7</v>
      </c>
      <c r="P16" s="151">
        <f>SUM(詳細!$AQ17:$AT17)</f>
        <v>0</v>
      </c>
      <c r="Q16" s="152">
        <f>SUM(詳細!$AU17:$AX17)</f>
        <v>0</v>
      </c>
      <c r="R16" s="151">
        <f>SUM(詳細!$AY17:$BB17)</f>
        <v>0</v>
      </c>
      <c r="S16" s="152">
        <f>SUM(詳細!$BC17:$BF17)</f>
        <v>0</v>
      </c>
      <c r="T16" s="151">
        <f>SUM(詳細!$BG17:$BJ17)</f>
        <v>0</v>
      </c>
      <c r="U16" s="152">
        <f>SUM(詳細!$BK17:$BN17)</f>
        <v>0</v>
      </c>
    </row>
    <row r="17" spans="2:21" ht="21" customHeight="1" thickTop="1" thickBot="1">
      <c r="B17" s="148" t="str">
        <f>詳細!B18</f>
        <v>稲元菜々</v>
      </c>
      <c r="C17" s="148"/>
      <c r="D17" s="149">
        <f>詳細!D18</f>
        <v>26</v>
      </c>
      <c r="E17" s="150">
        <f>詳細!E18</f>
        <v>0</v>
      </c>
      <c r="F17" s="151">
        <f>詳細!F18</f>
        <v>0</v>
      </c>
      <c r="G17" s="152">
        <f>SUM(詳細!$G18:$J18)</f>
        <v>0</v>
      </c>
      <c r="H17" s="151">
        <f>SUM(詳細!$K18:$N18)</f>
        <v>0</v>
      </c>
      <c r="I17" s="152">
        <f>SUM(詳細!$O18:$R18)</f>
        <v>0</v>
      </c>
      <c r="J17" s="151">
        <f>SUM(詳細!$S18:$V18)</f>
        <v>0</v>
      </c>
      <c r="K17" s="152">
        <f>SUM(詳細!$W18:$Z18)</f>
        <v>4</v>
      </c>
      <c r="L17" s="151">
        <f>SUM(詳細!$AA18:$AD18)</f>
        <v>8</v>
      </c>
      <c r="M17" s="152">
        <f>SUM(詳細!$AE18:$AH18)</f>
        <v>5</v>
      </c>
      <c r="N17" s="151">
        <f>SUM(詳細!$AI18:$AL18)</f>
        <v>6</v>
      </c>
      <c r="O17" s="152">
        <f>SUM(詳細!$AM18:$AP18)</f>
        <v>3</v>
      </c>
      <c r="P17" s="151">
        <f>SUM(詳細!$AQ18:$AT18)</f>
        <v>0</v>
      </c>
      <c r="Q17" s="152">
        <f>SUM(詳細!$AU18:$AX18)</f>
        <v>0</v>
      </c>
      <c r="R17" s="151">
        <f>SUM(詳細!$AY18:$BB18)</f>
        <v>0</v>
      </c>
      <c r="S17" s="152">
        <f>SUM(詳細!$BC18:$BF18)</f>
        <v>0</v>
      </c>
      <c r="T17" s="151">
        <f>SUM(詳細!$BG18:$BJ18)</f>
        <v>0</v>
      </c>
      <c r="U17" s="152">
        <f>SUM(詳細!$BK18:$BN18)</f>
        <v>0</v>
      </c>
    </row>
    <row r="18" spans="2:21" ht="21" customHeight="1" thickTop="1" thickBot="1">
      <c r="B18" s="148">
        <f>詳細!B19</f>
        <v>0</v>
      </c>
      <c r="C18" s="148"/>
      <c r="D18" s="149">
        <f>詳細!D19</f>
        <v>0</v>
      </c>
      <c r="E18" s="150">
        <f>詳細!E19</f>
        <v>0</v>
      </c>
      <c r="F18" s="151">
        <f>詳細!F19</f>
        <v>0</v>
      </c>
      <c r="G18" s="152">
        <f>SUM(詳細!$G19:$J19)</f>
        <v>0</v>
      </c>
      <c r="H18" s="151">
        <f>SUM(詳細!$K19:$N19)</f>
        <v>0</v>
      </c>
      <c r="I18" s="152">
        <f>SUM(詳細!$O19:$R19)</f>
        <v>0</v>
      </c>
      <c r="J18" s="151">
        <f>SUM(詳細!$S19:$V19)</f>
        <v>0</v>
      </c>
      <c r="K18" s="152">
        <f>SUM(詳細!$W19:$Z19)</f>
        <v>0</v>
      </c>
      <c r="L18" s="151">
        <f>SUM(詳細!$AA19:$AD19)</f>
        <v>0</v>
      </c>
      <c r="M18" s="152">
        <f>SUM(詳細!$AE19:$AH19)</f>
        <v>0</v>
      </c>
      <c r="N18" s="151">
        <f>SUM(詳細!$AI19:$AL19)</f>
        <v>0</v>
      </c>
      <c r="O18" s="152">
        <f>SUM(詳細!$AM19:$AP19)</f>
        <v>0</v>
      </c>
      <c r="P18" s="151">
        <f>SUM(詳細!$AQ19:$AT19)</f>
        <v>0</v>
      </c>
      <c r="Q18" s="152">
        <f>SUM(詳細!$AU19:$AX19)</f>
        <v>0</v>
      </c>
      <c r="R18" s="151">
        <f>SUM(詳細!$AY19:$BB19)</f>
        <v>0</v>
      </c>
      <c r="S18" s="152">
        <f>SUM(詳細!$BC19:$BF19)</f>
        <v>0</v>
      </c>
      <c r="T18" s="151">
        <f>SUM(詳細!$BG19:$BJ19)</f>
        <v>0</v>
      </c>
      <c r="U18" s="152">
        <f>SUM(詳細!$BK19:$BN19)</f>
        <v>0</v>
      </c>
    </row>
    <row r="19" spans="2:21" ht="21" customHeight="1" thickTop="1" thickBot="1">
      <c r="B19" s="148">
        <f>詳細!B20</f>
        <v>0</v>
      </c>
      <c r="C19" s="148"/>
      <c r="D19" s="149">
        <f>詳細!D20</f>
        <v>0</v>
      </c>
      <c r="E19" s="150">
        <f>詳細!E20</f>
        <v>0</v>
      </c>
      <c r="F19" s="151">
        <f>詳細!F20</f>
        <v>0</v>
      </c>
      <c r="G19" s="152">
        <f>SUM(詳細!$G20:$J20)</f>
        <v>0</v>
      </c>
      <c r="H19" s="151">
        <f>SUM(詳細!$K20:$N20)</f>
        <v>0</v>
      </c>
      <c r="I19" s="152">
        <f>SUM(詳細!$O20:$R20)</f>
        <v>0</v>
      </c>
      <c r="J19" s="151">
        <f>SUM(詳細!$S20:$V20)</f>
        <v>0</v>
      </c>
      <c r="K19" s="152">
        <f>SUM(詳細!$W20:$Z20)</f>
        <v>0</v>
      </c>
      <c r="L19" s="151">
        <f>SUM(詳細!$AA20:$AD20)</f>
        <v>0</v>
      </c>
      <c r="M19" s="152">
        <f>SUM(詳細!$AE20:$AH20)</f>
        <v>0</v>
      </c>
      <c r="N19" s="151">
        <f>SUM(詳細!$AI20:$AL20)</f>
        <v>0</v>
      </c>
      <c r="O19" s="152">
        <f>SUM(詳細!$AM20:$AP20)</f>
        <v>0</v>
      </c>
      <c r="P19" s="151">
        <f>SUM(詳細!$AQ20:$AT20)</f>
        <v>0</v>
      </c>
      <c r="Q19" s="152">
        <f>SUM(詳細!$AU20:$AX20)</f>
        <v>0</v>
      </c>
      <c r="R19" s="151">
        <f>SUM(詳細!$AY20:$BB20)</f>
        <v>0</v>
      </c>
      <c r="S19" s="152">
        <f>SUM(詳細!$BC20:$BF20)</f>
        <v>0</v>
      </c>
      <c r="T19" s="151">
        <f>SUM(詳細!$BG20:$BJ20)</f>
        <v>0</v>
      </c>
      <c r="U19" s="152">
        <f>SUM(詳細!$BK20:$BN20)</f>
        <v>0</v>
      </c>
    </row>
    <row r="20" spans="2:21" ht="21" customHeight="1" thickTop="1" thickBot="1">
      <c r="B20" s="148">
        <f>詳細!B21</f>
        <v>0</v>
      </c>
      <c r="C20" s="148"/>
      <c r="D20" s="149">
        <f>詳細!D21</f>
        <v>0</v>
      </c>
      <c r="E20" s="150">
        <f>詳細!E21</f>
        <v>0</v>
      </c>
      <c r="F20" s="151">
        <f>詳細!F21</f>
        <v>0</v>
      </c>
      <c r="G20" s="152">
        <f>SUM(詳細!$G21:$J21)</f>
        <v>0</v>
      </c>
      <c r="H20" s="151">
        <f>SUM(詳細!$K21:$N21)</f>
        <v>0</v>
      </c>
      <c r="I20" s="152">
        <f>SUM(詳細!$O21:$R21)</f>
        <v>0</v>
      </c>
      <c r="J20" s="151">
        <f>SUM(詳細!$S21:$V21)</f>
        <v>0</v>
      </c>
      <c r="K20" s="152">
        <f>SUM(詳細!$W21:$Z21)</f>
        <v>0</v>
      </c>
      <c r="L20" s="151">
        <f>SUM(詳細!$AA21:$AD21)</f>
        <v>0</v>
      </c>
      <c r="M20" s="152">
        <f>SUM(詳細!$AE21:$AH21)</f>
        <v>0</v>
      </c>
      <c r="N20" s="151">
        <f>SUM(詳細!$AI21:$AL21)</f>
        <v>0</v>
      </c>
      <c r="O20" s="152">
        <f>SUM(詳細!$AM21:$AP21)</f>
        <v>0</v>
      </c>
      <c r="P20" s="151">
        <f>SUM(詳細!$AQ21:$AT21)</f>
        <v>0</v>
      </c>
      <c r="Q20" s="152">
        <f>SUM(詳細!$AU21:$AX21)</f>
        <v>0</v>
      </c>
      <c r="R20" s="151">
        <f>SUM(詳細!$AY21:$BB21)</f>
        <v>0</v>
      </c>
      <c r="S20" s="152">
        <f>SUM(詳細!$BC21:$BF21)</f>
        <v>0</v>
      </c>
      <c r="T20" s="151">
        <f>SUM(詳細!$BG21:$BJ21)</f>
        <v>0</v>
      </c>
      <c r="U20" s="152">
        <f>SUM(詳細!$BK21:$BN21)</f>
        <v>0</v>
      </c>
    </row>
    <row r="21" spans="2:21" ht="21" customHeight="1" thickTop="1" thickBot="1">
      <c r="B21" s="148">
        <f>詳細!B22</f>
        <v>0</v>
      </c>
      <c r="C21" s="148"/>
      <c r="D21" s="149">
        <f>詳細!D22</f>
        <v>0</v>
      </c>
      <c r="E21" s="150">
        <f>詳細!E22</f>
        <v>0</v>
      </c>
      <c r="F21" s="151">
        <f>詳細!F22</f>
        <v>0</v>
      </c>
      <c r="G21" s="152">
        <f>SUM(詳細!$G22:$J22)</f>
        <v>0</v>
      </c>
      <c r="H21" s="151">
        <f>SUM(詳細!$K22:$N22)</f>
        <v>0</v>
      </c>
      <c r="I21" s="152">
        <f>SUM(詳細!$O22:$R22)</f>
        <v>0</v>
      </c>
      <c r="J21" s="151">
        <f>SUM(詳細!$S22:$V22)</f>
        <v>0</v>
      </c>
      <c r="K21" s="152">
        <f>SUM(詳細!$W22:$Z22)</f>
        <v>0</v>
      </c>
      <c r="L21" s="151">
        <f>SUM(詳細!$AA22:$AD22)</f>
        <v>0</v>
      </c>
      <c r="M21" s="152">
        <f>SUM(詳細!$AE22:$AH22)</f>
        <v>0</v>
      </c>
      <c r="N21" s="151">
        <f>SUM(詳細!$AI22:$AL22)</f>
        <v>0</v>
      </c>
      <c r="O21" s="152">
        <f>SUM(詳細!$AM22:$AP22)</f>
        <v>0</v>
      </c>
      <c r="P21" s="151">
        <f>SUM(詳細!$AQ22:$AT22)</f>
        <v>0</v>
      </c>
      <c r="Q21" s="152">
        <f>SUM(詳細!$AU22:$AX22)</f>
        <v>0</v>
      </c>
      <c r="R21" s="151">
        <f>SUM(詳細!$AY22:$BB22)</f>
        <v>0</v>
      </c>
      <c r="S21" s="152">
        <f>SUM(詳細!$BC22:$BF22)</f>
        <v>0</v>
      </c>
      <c r="T21" s="151">
        <f>SUM(詳細!$BG22:$BJ22)</f>
        <v>0</v>
      </c>
      <c r="U21" s="152">
        <f>SUM(詳細!$BK22:$BN22)</f>
        <v>0</v>
      </c>
    </row>
    <row r="22" spans="2:21" ht="21" customHeight="1" thickTop="1" thickBot="1">
      <c r="B22" s="148">
        <f>詳細!B23</f>
        <v>0</v>
      </c>
      <c r="C22" s="148"/>
      <c r="D22" s="149">
        <f>詳細!D23</f>
        <v>0</v>
      </c>
      <c r="E22" s="150">
        <f>詳細!E23</f>
        <v>0</v>
      </c>
      <c r="F22" s="151">
        <f>詳細!F23</f>
        <v>0</v>
      </c>
      <c r="G22" s="152">
        <f>SUM(詳細!$G23:$J23)</f>
        <v>0</v>
      </c>
      <c r="H22" s="151">
        <f>SUM(詳細!$K23:$N23)</f>
        <v>0</v>
      </c>
      <c r="I22" s="152">
        <f>SUM(詳細!$O23:$R23)</f>
        <v>0</v>
      </c>
      <c r="J22" s="151">
        <f>SUM(詳細!$S23:$V23)</f>
        <v>0</v>
      </c>
      <c r="K22" s="152">
        <f>SUM(詳細!$W23:$Z23)</f>
        <v>0</v>
      </c>
      <c r="L22" s="151">
        <f>SUM(詳細!$AA23:$AD23)</f>
        <v>0</v>
      </c>
      <c r="M22" s="152">
        <f>SUM(詳細!$AE23:$AH23)</f>
        <v>0</v>
      </c>
      <c r="N22" s="151">
        <f>SUM(詳細!$AI23:$AL23)</f>
        <v>0</v>
      </c>
      <c r="O22" s="152">
        <f>SUM(詳細!$AM23:$AP23)</f>
        <v>0</v>
      </c>
      <c r="P22" s="151">
        <f>SUM(詳細!$AQ23:$AT23)</f>
        <v>0</v>
      </c>
      <c r="Q22" s="152">
        <f>SUM(詳細!$AU23:$AX23)</f>
        <v>0</v>
      </c>
      <c r="R22" s="151">
        <f>SUM(詳細!$AY23:$BB23)</f>
        <v>0</v>
      </c>
      <c r="S22" s="152">
        <f>SUM(詳細!$BC23:$BF23)</f>
        <v>0</v>
      </c>
      <c r="T22" s="151">
        <f>SUM(詳細!$BG23:$BJ23)</f>
        <v>0</v>
      </c>
      <c r="U22" s="152">
        <f>SUM(詳細!$BK23:$BN23)</f>
        <v>0</v>
      </c>
    </row>
    <row r="23" spans="2:21" ht="21" hidden="1" customHeight="1" thickBot="1">
      <c r="B23" s="148">
        <f>詳細!B24</f>
        <v>0</v>
      </c>
      <c r="C23" s="148"/>
      <c r="D23" s="149">
        <f>詳細!D24</f>
        <v>0</v>
      </c>
      <c r="E23" s="150">
        <f>詳細!E24</f>
        <v>0</v>
      </c>
      <c r="F23" s="151">
        <f>詳細!F24</f>
        <v>0</v>
      </c>
      <c r="G23" s="152">
        <f>SUM(詳細!$G24:$J24)</f>
        <v>0</v>
      </c>
      <c r="H23" s="151">
        <f>SUM(詳細!$K24:$N24)</f>
        <v>0</v>
      </c>
      <c r="I23" s="152">
        <f>SUM(詳細!$O24:$R24)</f>
        <v>0</v>
      </c>
      <c r="J23" s="151">
        <f>SUM(詳細!$S24:$V24)</f>
        <v>0</v>
      </c>
      <c r="K23" s="152">
        <f>SUM(詳細!$W24:$Z24)</f>
        <v>0</v>
      </c>
      <c r="L23" s="151">
        <f>SUM(詳細!$AA24:$AD24)</f>
        <v>0</v>
      </c>
      <c r="M23" s="152">
        <f>SUM(詳細!$AE24:$AH24)</f>
        <v>0</v>
      </c>
      <c r="N23" s="151">
        <f>SUM(詳細!$AI24:$AL24)</f>
        <v>0</v>
      </c>
      <c r="O23" s="152">
        <f>SUM(詳細!$AM24:$AP24)</f>
        <v>0</v>
      </c>
      <c r="P23" s="151">
        <f>SUM(詳細!$AQ24:$AT24)</f>
        <v>0</v>
      </c>
      <c r="Q23" s="152">
        <f>SUM(詳細!$AU24:$AX24)</f>
        <v>0</v>
      </c>
      <c r="R23" s="151">
        <f>SUM(詳細!$AY24:$BB24)</f>
        <v>0</v>
      </c>
      <c r="S23" s="152">
        <f>SUM(詳細!$BC24:$BF24)</f>
        <v>0</v>
      </c>
      <c r="T23" s="151">
        <f>SUM(詳細!$BG24:$BJ24)</f>
        <v>0</v>
      </c>
      <c r="U23" s="152">
        <f>SUM(詳細!$BK24:$BN24)</f>
        <v>0</v>
      </c>
    </row>
    <row r="24" spans="2:21" ht="21" hidden="1" customHeight="1" thickBot="1">
      <c r="B24" s="148">
        <f>詳細!B25</f>
        <v>0</v>
      </c>
      <c r="C24" s="148"/>
      <c r="D24" s="149">
        <f>詳細!D25</f>
        <v>0</v>
      </c>
      <c r="E24" s="150">
        <f>詳細!E25</f>
        <v>0</v>
      </c>
      <c r="F24" s="151">
        <f>詳細!F25</f>
        <v>0</v>
      </c>
      <c r="G24" s="152">
        <f>SUM(詳細!$G25:$J25)</f>
        <v>0</v>
      </c>
      <c r="H24" s="151">
        <f>SUM(詳細!$K25:$N25)</f>
        <v>0</v>
      </c>
      <c r="I24" s="152">
        <f>SUM(詳細!$O25:$R25)</f>
        <v>0</v>
      </c>
      <c r="J24" s="151">
        <f>SUM(詳細!$S25:$V25)</f>
        <v>0</v>
      </c>
      <c r="K24" s="152">
        <f>SUM(詳細!$W25:$Z25)</f>
        <v>0</v>
      </c>
      <c r="L24" s="151">
        <f>SUM(詳細!$AA25:$AD25)</f>
        <v>0</v>
      </c>
      <c r="M24" s="152">
        <f>SUM(詳細!$AE25:$AH25)</f>
        <v>0</v>
      </c>
      <c r="N24" s="151">
        <f>SUM(詳細!$AI25:$AL25)</f>
        <v>0</v>
      </c>
      <c r="O24" s="152">
        <f>SUM(詳細!$AM25:$AP25)</f>
        <v>0</v>
      </c>
      <c r="P24" s="151">
        <f>SUM(詳細!$AQ25:$AT25)</f>
        <v>0</v>
      </c>
      <c r="Q24" s="152">
        <f>SUM(詳細!$AU25:$AX25)</f>
        <v>0</v>
      </c>
      <c r="R24" s="151">
        <f>SUM(詳細!$AY25:$BB25)</f>
        <v>0</v>
      </c>
      <c r="S24" s="152">
        <f>SUM(詳細!$BC25:$BF25)</f>
        <v>0</v>
      </c>
      <c r="T24" s="151">
        <f>SUM(詳細!$BG25:$BJ25)</f>
        <v>0</v>
      </c>
      <c r="U24" s="152">
        <f>SUM(詳細!$BK25:$BN25)</f>
        <v>0</v>
      </c>
    </row>
    <row r="25" spans="2:21" ht="21" hidden="1" customHeight="1" thickBot="1">
      <c r="B25" s="148">
        <f>詳細!B26</f>
        <v>0</v>
      </c>
      <c r="C25" s="148"/>
      <c r="D25" s="149">
        <f>詳細!D26</f>
        <v>0</v>
      </c>
      <c r="E25" s="150">
        <f>詳細!E26</f>
        <v>0</v>
      </c>
      <c r="F25" s="151">
        <f>詳細!F26</f>
        <v>0</v>
      </c>
      <c r="G25" s="152">
        <f>SUM(詳細!$G26:$J26)</f>
        <v>0</v>
      </c>
      <c r="H25" s="151">
        <f>SUM(詳細!$K26:$N26)</f>
        <v>0</v>
      </c>
      <c r="I25" s="152">
        <f>SUM(詳細!$O26:$R26)</f>
        <v>0</v>
      </c>
      <c r="J25" s="151">
        <f>SUM(詳細!$S26:$V26)</f>
        <v>0</v>
      </c>
      <c r="K25" s="152">
        <f>SUM(詳細!$W26:$Z26)</f>
        <v>0</v>
      </c>
      <c r="L25" s="151">
        <f>SUM(詳細!$AA26:$AD26)</f>
        <v>0</v>
      </c>
      <c r="M25" s="152">
        <f>SUM(詳細!$AE26:$AH26)</f>
        <v>0</v>
      </c>
      <c r="N25" s="151">
        <f>SUM(詳細!$AI26:$AL26)</f>
        <v>0</v>
      </c>
      <c r="O25" s="152">
        <f>SUM(詳細!$AM26:$AP26)</f>
        <v>0</v>
      </c>
      <c r="P25" s="151">
        <f>SUM(詳細!$AQ26:$AT26)</f>
        <v>0</v>
      </c>
      <c r="Q25" s="152">
        <f>SUM(詳細!$AU26:$AX26)</f>
        <v>0</v>
      </c>
      <c r="R25" s="151">
        <f>SUM(詳細!$AY26:$BB26)</f>
        <v>0</v>
      </c>
      <c r="S25" s="152">
        <f>SUM(詳細!$BC26:$BF26)</f>
        <v>0</v>
      </c>
      <c r="T25" s="151">
        <f>SUM(詳細!$BG26:$BJ26)</f>
        <v>0</v>
      </c>
      <c r="U25" s="152">
        <f>SUM(詳細!$BK26:$BN26)</f>
        <v>0</v>
      </c>
    </row>
    <row r="26" spans="2:21" ht="21" hidden="1" customHeight="1" thickBot="1">
      <c r="B26" s="148">
        <f>詳細!B27</f>
        <v>0</v>
      </c>
      <c r="C26" s="148"/>
      <c r="D26" s="149">
        <f>詳細!D27</f>
        <v>0</v>
      </c>
      <c r="E26" s="150">
        <f>詳細!E27</f>
        <v>0</v>
      </c>
      <c r="F26" s="151">
        <f>詳細!F27</f>
        <v>0</v>
      </c>
      <c r="G26" s="152">
        <f>SUM(詳細!$G27:$J27)</f>
        <v>0</v>
      </c>
      <c r="H26" s="151">
        <f>SUM(詳細!$K27:$N27)</f>
        <v>0</v>
      </c>
      <c r="I26" s="152">
        <f>SUM(詳細!$O27:$R27)</f>
        <v>0</v>
      </c>
      <c r="J26" s="151">
        <f>SUM(詳細!$S27:$V27)</f>
        <v>0</v>
      </c>
      <c r="K26" s="152">
        <f>SUM(詳細!$W27:$Z27)</f>
        <v>0</v>
      </c>
      <c r="L26" s="151">
        <f>SUM(詳細!$AA27:$AD27)</f>
        <v>0</v>
      </c>
      <c r="M26" s="152">
        <f>SUM(詳細!$AE27:$AH27)</f>
        <v>0</v>
      </c>
      <c r="N26" s="151">
        <f>SUM(詳細!$AI27:$AL27)</f>
        <v>0</v>
      </c>
      <c r="O26" s="152">
        <f>SUM(詳細!$AM27:$AP27)</f>
        <v>0</v>
      </c>
      <c r="P26" s="151">
        <f>SUM(詳細!$AQ27:$AT27)</f>
        <v>0</v>
      </c>
      <c r="Q26" s="152">
        <f>SUM(詳細!$AU27:$AX27)</f>
        <v>0</v>
      </c>
      <c r="R26" s="151">
        <f>SUM(詳細!$AY27:$BB27)</f>
        <v>0</v>
      </c>
      <c r="S26" s="152">
        <f>SUM(詳細!$BC27:$BF27)</f>
        <v>0</v>
      </c>
      <c r="T26" s="151">
        <f>SUM(詳細!$BG27:$BJ27)</f>
        <v>0</v>
      </c>
      <c r="U26" s="152">
        <f>SUM(詳細!$BK27:$BN27)</f>
        <v>0</v>
      </c>
    </row>
    <row r="27" spans="2:21" ht="21" hidden="1" customHeight="1" thickBot="1">
      <c r="B27" s="148">
        <f>詳細!B28</f>
        <v>0</v>
      </c>
      <c r="C27" s="148"/>
      <c r="D27" s="149">
        <f>詳細!D28</f>
        <v>0</v>
      </c>
      <c r="E27" s="150">
        <f>詳細!E28</f>
        <v>0</v>
      </c>
      <c r="F27" s="151">
        <f>詳細!F28</f>
        <v>0</v>
      </c>
      <c r="G27" s="152">
        <f>SUM(詳細!$G28:$J28)</f>
        <v>0</v>
      </c>
      <c r="H27" s="151">
        <f>SUM(詳細!$K28:$N28)</f>
        <v>0</v>
      </c>
      <c r="I27" s="152">
        <f>SUM(詳細!$O28:$R28)</f>
        <v>0</v>
      </c>
      <c r="J27" s="151">
        <f>SUM(詳細!$S28:$V28)</f>
        <v>0</v>
      </c>
      <c r="K27" s="152">
        <f>SUM(詳細!$W28:$Z28)</f>
        <v>0</v>
      </c>
      <c r="L27" s="151">
        <f>SUM(詳細!$AA28:$AD28)</f>
        <v>0</v>
      </c>
      <c r="M27" s="152">
        <f>SUM(詳細!$AE28:$AH28)</f>
        <v>0</v>
      </c>
      <c r="N27" s="151">
        <f>SUM(詳細!$AI28:$AL28)</f>
        <v>0</v>
      </c>
      <c r="O27" s="152">
        <f>SUM(詳細!$AM28:$AP28)</f>
        <v>0</v>
      </c>
      <c r="P27" s="151">
        <f>SUM(詳細!$AQ28:$AT28)</f>
        <v>0</v>
      </c>
      <c r="Q27" s="152">
        <f>SUM(詳細!$AU28:$AX28)</f>
        <v>0</v>
      </c>
      <c r="R27" s="151">
        <f>SUM(詳細!$AY28:$BB28)</f>
        <v>0</v>
      </c>
      <c r="S27" s="152">
        <f>SUM(詳細!$BC28:$BF28)</f>
        <v>0</v>
      </c>
      <c r="T27" s="151">
        <f>SUM(詳細!$BG28:$BJ28)</f>
        <v>0</v>
      </c>
      <c r="U27" s="152">
        <f>SUM(詳細!$BK28:$BN28)</f>
        <v>0</v>
      </c>
    </row>
    <row r="28" spans="2:21" ht="21" hidden="1" customHeight="1" thickBot="1">
      <c r="B28" s="148">
        <f>詳細!B29</f>
        <v>0</v>
      </c>
      <c r="C28" s="148"/>
      <c r="D28" s="149">
        <f>詳細!D29</f>
        <v>0</v>
      </c>
      <c r="E28" s="150">
        <f>詳細!E29</f>
        <v>0</v>
      </c>
      <c r="F28" s="151">
        <f>詳細!F29</f>
        <v>0</v>
      </c>
      <c r="G28" s="152">
        <f>SUM(詳細!$G29:$J29)</f>
        <v>0</v>
      </c>
      <c r="H28" s="151">
        <f>SUM(詳細!$K29:$N29)</f>
        <v>0</v>
      </c>
      <c r="I28" s="152">
        <f>SUM(詳細!$O29:$R29)</f>
        <v>0</v>
      </c>
      <c r="J28" s="151">
        <f>SUM(詳細!$S29:$V29)</f>
        <v>0</v>
      </c>
      <c r="K28" s="152">
        <f>SUM(詳細!$W29:$Z29)</f>
        <v>0</v>
      </c>
      <c r="L28" s="151">
        <f>SUM(詳細!$AA29:$AD29)</f>
        <v>0</v>
      </c>
      <c r="M28" s="152">
        <f>SUM(詳細!$AE29:$AH29)</f>
        <v>0</v>
      </c>
      <c r="N28" s="151">
        <f>SUM(詳細!$AI29:$AL29)</f>
        <v>0</v>
      </c>
      <c r="O28" s="152">
        <f>SUM(詳細!$AM29:$AP29)</f>
        <v>0</v>
      </c>
      <c r="P28" s="151">
        <f>SUM(詳細!$AQ29:$AT29)</f>
        <v>0</v>
      </c>
      <c r="Q28" s="152">
        <f>SUM(詳細!$AU29:$AX29)</f>
        <v>0</v>
      </c>
      <c r="R28" s="151">
        <f>SUM(詳細!$AY29:$BB29)</f>
        <v>0</v>
      </c>
      <c r="S28" s="152">
        <f>SUM(詳細!$BC29:$BF29)</f>
        <v>0</v>
      </c>
      <c r="T28" s="151">
        <f>SUM(詳細!$BG29:$BJ29)</f>
        <v>0</v>
      </c>
      <c r="U28" s="152">
        <f>SUM(詳細!$BK29:$BN29)</f>
        <v>0</v>
      </c>
    </row>
    <row r="29" spans="2:21" ht="21" hidden="1" customHeight="1" thickBot="1">
      <c r="B29" s="148">
        <f>詳細!B30</f>
        <v>0</v>
      </c>
      <c r="C29" s="148"/>
      <c r="D29" s="149">
        <f>詳細!D30</f>
        <v>0</v>
      </c>
      <c r="E29" s="150">
        <f>詳細!E30</f>
        <v>0</v>
      </c>
      <c r="F29" s="151">
        <f>詳細!F30</f>
        <v>0</v>
      </c>
      <c r="G29" s="152">
        <f>SUM(詳細!$G30:$J30)</f>
        <v>0</v>
      </c>
      <c r="H29" s="151">
        <f>SUM(詳細!$K30:$N30)</f>
        <v>0</v>
      </c>
      <c r="I29" s="152">
        <f>SUM(詳細!$O30:$R30)</f>
        <v>0</v>
      </c>
      <c r="J29" s="151">
        <f>SUM(詳細!$S30:$V30)</f>
        <v>0</v>
      </c>
      <c r="K29" s="152">
        <f>SUM(詳細!$W30:$Z30)</f>
        <v>0</v>
      </c>
      <c r="L29" s="151">
        <f>SUM(詳細!$AA30:$AD30)</f>
        <v>0</v>
      </c>
      <c r="M29" s="152">
        <f>SUM(詳細!$AE30:$AH30)</f>
        <v>0</v>
      </c>
      <c r="N29" s="151">
        <f>SUM(詳細!$AI30:$AL30)</f>
        <v>0</v>
      </c>
      <c r="O29" s="152">
        <f>SUM(詳細!$AM30:$AP30)</f>
        <v>0</v>
      </c>
      <c r="P29" s="151">
        <f>SUM(詳細!$AQ30:$AT30)</f>
        <v>0</v>
      </c>
      <c r="Q29" s="152">
        <f>SUM(詳細!$AU30:$AX30)</f>
        <v>0</v>
      </c>
      <c r="R29" s="151">
        <f>SUM(詳細!$AY30:$BB30)</f>
        <v>0</v>
      </c>
      <c r="S29" s="152">
        <f>SUM(詳細!$BC30:$BF30)</f>
        <v>0</v>
      </c>
      <c r="T29" s="151">
        <f>SUM(詳細!$BG30:$BJ30)</f>
        <v>0</v>
      </c>
      <c r="U29" s="152">
        <f>SUM(詳細!$BK30:$BN30)</f>
        <v>0</v>
      </c>
    </row>
    <row r="30" spans="2:21" ht="20.25" customHeight="1" thickTop="1" thickBot="1">
      <c r="B30" s="221" t="s">
        <v>0</v>
      </c>
      <c r="C30" s="221"/>
      <c r="D30" s="153">
        <f>SUM(D4:D29)</f>
        <v>466</v>
      </c>
      <c r="E30" s="154">
        <f>SUM(E4:E29)</f>
        <v>28</v>
      </c>
      <c r="F30" s="155">
        <f>SUM(F4:F29)</f>
        <v>51</v>
      </c>
      <c r="G30" s="156">
        <f t="shared" ref="G30:U30" si="0">SUM(G4:G29)</f>
        <v>57</v>
      </c>
      <c r="H30" s="155">
        <f t="shared" si="0"/>
        <v>54</v>
      </c>
      <c r="I30" s="156">
        <f t="shared" si="0"/>
        <v>44</v>
      </c>
      <c r="J30" s="155">
        <f t="shared" si="0"/>
        <v>35</v>
      </c>
      <c r="K30" s="156">
        <f t="shared" si="0"/>
        <v>38</v>
      </c>
      <c r="L30" s="155">
        <f t="shared" si="0"/>
        <v>41</v>
      </c>
      <c r="M30" s="156">
        <f t="shared" si="0"/>
        <v>50</v>
      </c>
      <c r="N30" s="155">
        <f t="shared" si="0"/>
        <v>45</v>
      </c>
      <c r="O30" s="156">
        <f t="shared" si="0"/>
        <v>51</v>
      </c>
      <c r="P30" s="155">
        <f t="shared" si="0"/>
        <v>28</v>
      </c>
      <c r="Q30" s="156">
        <f t="shared" si="0"/>
        <v>0</v>
      </c>
      <c r="R30" s="155">
        <f t="shared" si="0"/>
        <v>0</v>
      </c>
      <c r="S30" s="156">
        <f t="shared" si="0"/>
        <v>0</v>
      </c>
      <c r="T30" s="155">
        <f t="shared" si="0"/>
        <v>0</v>
      </c>
      <c r="U30" s="156">
        <f t="shared" si="0"/>
        <v>0</v>
      </c>
    </row>
    <row r="31" spans="2:21" ht="16.5" thickTop="1"/>
  </sheetData>
  <mergeCells count="2">
    <mergeCell ref="B30:C30"/>
    <mergeCell ref="B3:C3"/>
  </mergeCells>
  <phoneticPr fontId="2"/>
  <conditionalFormatting sqref="D4:D29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{80B850F8-1393-4F10-9C2E-93D3FB3D0316}</x14:id>
        </ext>
      </extLst>
    </cfRule>
  </conditionalFormatting>
  <conditionalFormatting sqref="E4:E29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{B4355A11-A390-4915-B181-2BFB5F3EEA1B}</x14:id>
        </ext>
      </extLst>
    </cfRule>
  </conditionalFormatting>
  <conditionalFormatting sqref="E4:E2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{DAC07B08-66E7-4D0E-985C-AFFD713FCB0C}</x14:id>
        </ext>
      </extLst>
    </cfRule>
  </conditionalFormatting>
  <conditionalFormatting sqref="F4:U2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B850F8-1393-4F10-9C2E-93D3FB3D031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D4:D29</xm:sqref>
        </x14:conditionalFormatting>
        <x14:conditionalFormatting xmlns:xm="http://schemas.microsoft.com/office/excel/2006/main">
          <x14:cfRule type="dataBar" id="{B4355A11-A390-4915-B181-2BFB5F3EEA1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E4:E29</xm:sqref>
        </x14:conditionalFormatting>
        <x14:conditionalFormatting xmlns:xm="http://schemas.microsoft.com/office/excel/2006/main">
          <x14:cfRule type="dataBar" id="{DAC07B08-66E7-4D0E-985C-AFFD713FCB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E4:E29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8"/>
  <sheetViews>
    <sheetView workbookViewId="0">
      <selection activeCell="A17" sqref="A17"/>
    </sheetView>
  </sheetViews>
  <sheetFormatPr defaultRowHeight="15.75"/>
  <cols>
    <col min="1" max="1" width="9.625" style="1" bestFit="1" customWidth="1"/>
    <col min="2" max="2" width="12.625" style="1" bestFit="1" customWidth="1"/>
    <col min="3" max="3" width="9" style="1"/>
    <col min="4" max="4" width="11" style="1" customWidth="1"/>
    <col min="5" max="16384" width="9" style="1"/>
  </cols>
  <sheetData>
    <row r="1" spans="1:2">
      <c r="A1" s="1">
        <v>2000004</v>
      </c>
      <c r="B1" s="1" t="s">
        <v>95</v>
      </c>
    </row>
    <row r="2" spans="1:2">
      <c r="A2" s="1">
        <v>2000005</v>
      </c>
      <c r="B2" s="1" t="s">
        <v>96</v>
      </c>
    </row>
    <row r="3" spans="1:2">
      <c r="A3" s="1">
        <v>2000006</v>
      </c>
      <c r="B3" s="1" t="s">
        <v>97</v>
      </c>
    </row>
    <row r="4" spans="1:2">
      <c r="A4" s="1">
        <v>2000010</v>
      </c>
      <c r="B4" s="1" t="s">
        <v>98</v>
      </c>
    </row>
    <row r="5" spans="1:2">
      <c r="A5" s="1">
        <v>2000011</v>
      </c>
      <c r="B5" s="1" t="s">
        <v>99</v>
      </c>
    </row>
    <row r="6" spans="1:2">
      <c r="A6" s="1">
        <v>2000015</v>
      </c>
      <c r="B6" s="1" t="s">
        <v>100</v>
      </c>
    </row>
    <row r="7" spans="1:2">
      <c r="A7" s="1">
        <v>2000016</v>
      </c>
      <c r="B7" s="1" t="s">
        <v>101</v>
      </c>
    </row>
    <row r="8" spans="1:2">
      <c r="A8" s="1">
        <v>2000017</v>
      </c>
      <c r="B8" s="1" t="s">
        <v>102</v>
      </c>
    </row>
    <row r="9" spans="1:2">
      <c r="A9" s="1">
        <v>2000018</v>
      </c>
      <c r="B9" s="1" t="s">
        <v>103</v>
      </c>
    </row>
    <row r="10" spans="1:2">
      <c r="A10" s="1">
        <v>2000019</v>
      </c>
      <c r="B10" s="1" t="s">
        <v>104</v>
      </c>
    </row>
    <row r="11" spans="1:2">
      <c r="A11" s="1">
        <v>2000020</v>
      </c>
      <c r="B11" s="1" t="s">
        <v>105</v>
      </c>
    </row>
    <row r="12" spans="1:2">
      <c r="A12" s="1">
        <v>2000022</v>
      </c>
      <c r="B12" s="1" t="s">
        <v>106</v>
      </c>
    </row>
    <row r="13" spans="1:2">
      <c r="A13" s="1">
        <v>2000026</v>
      </c>
      <c r="B13" s="1" t="s">
        <v>107</v>
      </c>
    </row>
    <row r="14" spans="1:2">
      <c r="A14" s="1">
        <v>2000029</v>
      </c>
      <c r="B14" s="1" t="s">
        <v>108</v>
      </c>
    </row>
    <row r="15" spans="1:2">
      <c r="A15" s="1">
        <v>2000032</v>
      </c>
      <c r="B15" s="1" t="s">
        <v>109</v>
      </c>
    </row>
    <row r="16" spans="1:2">
      <c r="A16" s="1">
        <v>2000034</v>
      </c>
      <c r="B16" s="1" t="s">
        <v>110</v>
      </c>
    </row>
    <row r="17" spans="1:2">
      <c r="A17" s="1">
        <v>2000044</v>
      </c>
      <c r="B17" s="1" t="s">
        <v>111</v>
      </c>
    </row>
    <row r="18" spans="1:2">
      <c r="A18" s="1">
        <v>2000062</v>
      </c>
      <c r="B18" s="1" t="s">
        <v>112</v>
      </c>
    </row>
    <row r="19" spans="1:2">
      <c r="A19" s="1">
        <v>2000082</v>
      </c>
      <c r="B19" s="1" t="s">
        <v>113</v>
      </c>
    </row>
    <row r="20" spans="1:2">
      <c r="A20" s="1">
        <v>2000092</v>
      </c>
      <c r="B20" s="1" t="s">
        <v>114</v>
      </c>
    </row>
    <row r="21" spans="1:2">
      <c r="A21" s="1">
        <v>2000094</v>
      </c>
      <c r="B21" s="1" t="s">
        <v>115</v>
      </c>
    </row>
    <row r="22" spans="1:2">
      <c r="A22" s="1">
        <v>2000100</v>
      </c>
      <c r="B22" s="1" t="s">
        <v>116</v>
      </c>
    </row>
    <row r="23" spans="1:2">
      <c r="A23" s="1">
        <v>2000126</v>
      </c>
      <c r="B23" s="1" t="s">
        <v>117</v>
      </c>
    </row>
    <row r="24" spans="1:2">
      <c r="A24" s="1">
        <v>2000134</v>
      </c>
      <c r="B24" s="1" t="s">
        <v>118</v>
      </c>
    </row>
    <row r="25" spans="1:2">
      <c r="A25" s="1">
        <v>2000135</v>
      </c>
      <c r="B25" s="1" t="s">
        <v>119</v>
      </c>
    </row>
    <row r="26" spans="1:2">
      <c r="A26" s="1">
        <v>2000151</v>
      </c>
      <c r="B26" s="1" t="s">
        <v>120</v>
      </c>
    </row>
    <row r="27" spans="1:2">
      <c r="A27" s="1">
        <v>2000159</v>
      </c>
      <c r="B27" s="1" t="s">
        <v>121</v>
      </c>
    </row>
    <row r="28" spans="1:2">
      <c r="A28" s="1">
        <v>2000161</v>
      </c>
      <c r="B28" s="1" t="s">
        <v>122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86"/>
  <sheetViews>
    <sheetView workbookViewId="0"/>
  </sheetViews>
  <sheetFormatPr defaultRowHeight="18.75"/>
  <cols>
    <col min="1" max="1" width="4" customWidth="1"/>
  </cols>
  <sheetData>
    <row r="1" spans="1:14">
      <c r="A1" s="1"/>
      <c r="B1" s="1" t="s">
        <v>125</v>
      </c>
      <c r="C1" s="1" t="s">
        <v>126</v>
      </c>
      <c r="D1" s="1"/>
      <c r="E1" s="1"/>
      <c r="F1" s="1" t="s">
        <v>127</v>
      </c>
      <c r="G1" s="1"/>
      <c r="H1" s="1"/>
      <c r="I1" s="1"/>
      <c r="J1" s="1"/>
      <c r="K1" s="1"/>
      <c r="L1" s="1"/>
      <c r="M1" s="1"/>
      <c r="N1" s="1"/>
    </row>
    <row r="2" spans="1:14" ht="19.5" thickBot="1">
      <c r="A2" s="66" t="s">
        <v>3</v>
      </c>
      <c r="B2" s="67">
        <v>0.375</v>
      </c>
      <c r="C2" s="28"/>
      <c r="D2" s="28"/>
      <c r="E2" s="28"/>
      <c r="F2" s="28"/>
      <c r="G2" s="28"/>
      <c r="H2" s="47"/>
      <c r="I2" s="47"/>
      <c r="J2" s="47"/>
      <c r="K2" s="28"/>
      <c r="L2" s="28"/>
      <c r="M2" s="68"/>
      <c r="N2" s="28"/>
    </row>
    <row r="3" spans="1:14" ht="18.75" customHeight="1">
      <c r="A3" s="1"/>
      <c r="B3" s="204"/>
      <c r="C3" s="205" t="s">
        <v>8</v>
      </c>
      <c r="D3" s="205" t="s">
        <v>10</v>
      </c>
      <c r="E3" s="205" t="s">
        <v>7</v>
      </c>
      <c r="F3" s="206" t="s">
        <v>9</v>
      </c>
      <c r="G3" s="199" t="s">
        <v>0</v>
      </c>
      <c r="H3" s="200"/>
      <c r="I3" s="184" t="s">
        <v>2</v>
      </c>
      <c r="J3" s="200"/>
      <c r="K3" s="1"/>
      <c r="L3" s="20"/>
      <c r="M3" s="73" t="s">
        <v>81</v>
      </c>
      <c r="N3" s="73" t="s">
        <v>11</v>
      </c>
    </row>
    <row r="4" spans="1:14">
      <c r="A4" s="1"/>
      <c r="B4" s="204"/>
      <c r="C4" s="201"/>
      <c r="D4" s="201"/>
      <c r="E4" s="201"/>
      <c r="F4" s="207"/>
      <c r="G4" s="2" t="s">
        <v>4</v>
      </c>
      <c r="H4" s="3" t="s">
        <v>1</v>
      </c>
      <c r="I4" s="4" t="s">
        <v>4</v>
      </c>
      <c r="J4" s="3" t="s">
        <v>1</v>
      </c>
      <c r="K4" s="1"/>
      <c r="L4" s="5" t="s">
        <v>5</v>
      </c>
      <c r="M4" s="21">
        <v>24</v>
      </c>
      <c r="N4" s="21">
        <v>24</v>
      </c>
    </row>
    <row r="5" spans="1:14" ht="19.5" thickBot="1">
      <c r="A5" s="1"/>
      <c r="B5" s="5" t="s">
        <v>5</v>
      </c>
      <c r="C5" s="5">
        <v>20</v>
      </c>
      <c r="D5" s="5">
        <v>0</v>
      </c>
      <c r="E5" s="5">
        <v>2</v>
      </c>
      <c r="F5" s="6"/>
      <c r="G5" s="18">
        <f>SUM(C5:F5)</f>
        <v>22</v>
      </c>
      <c r="H5" s="7">
        <f>G5/(G5+G6)</f>
        <v>0.70967741935483875</v>
      </c>
      <c r="I5" s="69">
        <f>C5+D5</f>
        <v>20</v>
      </c>
      <c r="J5" s="70">
        <f>I5/(I5+I6)</f>
        <v>0.76923076923076927</v>
      </c>
      <c r="K5" s="1"/>
      <c r="L5" s="8" t="s">
        <v>6</v>
      </c>
      <c r="M5" s="22">
        <v>4</v>
      </c>
      <c r="N5" s="22">
        <v>4</v>
      </c>
    </row>
    <row r="6" spans="1:14" ht="19.5" thickBot="1">
      <c r="A6" s="1"/>
      <c r="B6" s="8" t="s">
        <v>6</v>
      </c>
      <c r="C6" s="8">
        <v>2</v>
      </c>
      <c r="D6" s="8">
        <v>4</v>
      </c>
      <c r="E6" s="8">
        <v>3</v>
      </c>
      <c r="F6" s="49"/>
      <c r="G6" s="9">
        <f>SUM(C6:E6)</f>
        <v>9</v>
      </c>
      <c r="H6" s="17">
        <f>G6/(G5+G6)</f>
        <v>0.29032258064516131</v>
      </c>
      <c r="I6" s="11">
        <f>C6+D6</f>
        <v>6</v>
      </c>
      <c r="J6" s="10">
        <f>I6/(I5+I6)</f>
        <v>0.23076923076923078</v>
      </c>
      <c r="K6" s="1"/>
      <c r="L6" s="23" t="s">
        <v>12</v>
      </c>
      <c r="M6" s="71">
        <f>SUM(M4:M5)</f>
        <v>28</v>
      </c>
      <c r="N6" s="24">
        <f>SUM(N4:N5)</f>
        <v>28</v>
      </c>
    </row>
    <row r="7" spans="1:14" ht="19.5" thickBot="1">
      <c r="A7" s="1"/>
      <c r="B7" s="14" t="s">
        <v>0</v>
      </c>
      <c r="C7" s="12">
        <f>SUM(C5:C6)</f>
        <v>22</v>
      </c>
      <c r="D7" s="12">
        <f t="shared" ref="D7:G7" si="0">SUM(D5:D6)</f>
        <v>4</v>
      </c>
      <c r="E7" s="12">
        <f t="shared" si="0"/>
        <v>5</v>
      </c>
      <c r="F7" s="13">
        <f t="shared" si="0"/>
        <v>0</v>
      </c>
      <c r="G7" s="14">
        <f t="shared" si="0"/>
        <v>31</v>
      </c>
      <c r="H7" s="15"/>
      <c r="I7" s="16">
        <f t="shared" ref="I7" si="1">SUM(I5:I6)</f>
        <v>26</v>
      </c>
      <c r="J7" s="15"/>
      <c r="K7" s="1"/>
      <c r="L7" s="14" t="s">
        <v>13</v>
      </c>
      <c r="M7" s="48">
        <f>N6/M6</f>
        <v>1</v>
      </c>
      <c r="N7" s="25"/>
    </row>
    <row r="8" spans="1:14">
      <c r="A8" s="66" t="s">
        <v>3</v>
      </c>
      <c r="B8" s="67">
        <v>0.41666666666666669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</row>
    <row r="14" spans="1:14">
      <c r="A14" s="66" t="s">
        <v>3</v>
      </c>
      <c r="B14" s="67">
        <v>0.45833333333333331</v>
      </c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</row>
    <row r="20" spans="1:14">
      <c r="A20" s="66" t="s">
        <v>3</v>
      </c>
      <c r="B20" s="67">
        <v>0.5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</row>
    <row r="26" spans="1:14">
      <c r="A26" s="66" t="s">
        <v>3</v>
      </c>
      <c r="B26" s="67">
        <v>0.54166666666666663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  <row r="32" spans="1:14">
      <c r="A32" s="66" t="s">
        <v>3</v>
      </c>
      <c r="B32" s="67">
        <v>0.58333333333333337</v>
      </c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</row>
    <row r="38" spans="1:14">
      <c r="A38" s="66" t="s">
        <v>3</v>
      </c>
      <c r="B38" s="67">
        <v>0.625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</row>
    <row r="44" spans="1:14">
      <c r="A44" s="66" t="s">
        <v>3</v>
      </c>
      <c r="B44" s="67">
        <v>0.66666666666666663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</row>
    <row r="50" spans="1:14">
      <c r="A50" s="66" t="s">
        <v>3</v>
      </c>
      <c r="B50" s="67">
        <v>0.70833333333333337</v>
      </c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</row>
    <row r="56" spans="1:14">
      <c r="A56" s="66" t="s">
        <v>3</v>
      </c>
      <c r="B56" s="67">
        <v>0.75</v>
      </c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</row>
    <row r="62" spans="1:14">
      <c r="A62" s="66" t="s">
        <v>3</v>
      </c>
      <c r="B62" s="67">
        <v>0.79166666666666663</v>
      </c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</row>
    <row r="68" spans="1:14">
      <c r="A68" s="66" t="s">
        <v>3</v>
      </c>
      <c r="B68" s="67">
        <v>0.83333333333333337</v>
      </c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</row>
    <row r="74" spans="1:14">
      <c r="A74" s="66" t="s">
        <v>3</v>
      </c>
      <c r="B74" s="67">
        <v>0.875</v>
      </c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</row>
    <row r="80" spans="1:14">
      <c r="A80" s="66" t="s">
        <v>3</v>
      </c>
      <c r="B80" s="67">
        <v>0.91666666666666663</v>
      </c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</row>
    <row r="86" spans="1:14">
      <c r="A86" s="66" t="s">
        <v>3</v>
      </c>
      <c r="B86" s="67">
        <v>0.95833333333333337</v>
      </c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</row>
  </sheetData>
  <mergeCells count="7">
    <mergeCell ref="I3:J3"/>
    <mergeCell ref="B3:B4"/>
    <mergeCell ref="C3:C4"/>
    <mergeCell ref="D3:D4"/>
    <mergeCell ref="E3:E4"/>
    <mergeCell ref="F3:F4"/>
    <mergeCell ref="G3:H3"/>
  </mergeCells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2:H260"/>
  <sheetViews>
    <sheetView workbookViewId="0"/>
  </sheetViews>
  <sheetFormatPr defaultRowHeight="15.75"/>
  <cols>
    <col min="1" max="2" width="9" style="1"/>
    <col min="3" max="3" width="10.75" style="1" customWidth="1"/>
    <col min="4" max="16384" width="9" style="1"/>
  </cols>
  <sheetData>
    <row r="2" spans="2:3" ht="19.5">
      <c r="B2" s="56" t="s">
        <v>46</v>
      </c>
    </row>
    <row r="4" spans="2:3">
      <c r="B4" s="1" t="s">
        <v>47</v>
      </c>
      <c r="C4" s="1" t="s">
        <v>80</v>
      </c>
    </row>
    <row r="5" spans="2:3">
      <c r="C5" s="1" t="s">
        <v>82</v>
      </c>
    </row>
    <row r="19" spans="2:3">
      <c r="B19" s="1" t="s">
        <v>49</v>
      </c>
      <c r="C19" s="1" t="s">
        <v>79</v>
      </c>
    </row>
    <row r="21" spans="2:3">
      <c r="C21" s="1" t="s">
        <v>48</v>
      </c>
    </row>
    <row r="27" spans="2:3">
      <c r="B27" s="1" t="s">
        <v>51</v>
      </c>
      <c r="C27" s="1" t="s">
        <v>50</v>
      </c>
    </row>
    <row r="49" spans="2:8">
      <c r="B49" s="1" t="s">
        <v>59</v>
      </c>
      <c r="C49" s="1" t="s">
        <v>52</v>
      </c>
      <c r="D49" s="19" t="s">
        <v>53</v>
      </c>
      <c r="E49" s="19" t="s">
        <v>54</v>
      </c>
      <c r="F49" s="19" t="s">
        <v>55</v>
      </c>
      <c r="G49" s="19" t="s">
        <v>56</v>
      </c>
      <c r="H49" s="1" t="s">
        <v>57</v>
      </c>
    </row>
    <row r="67" spans="3:3">
      <c r="C67" s="1" t="s">
        <v>58</v>
      </c>
    </row>
    <row r="105" spans="2:3">
      <c r="B105" s="1" t="s">
        <v>62</v>
      </c>
      <c r="C105" s="1" t="s">
        <v>60</v>
      </c>
    </row>
    <row r="106" spans="2:3">
      <c r="C106" s="1" t="s">
        <v>61</v>
      </c>
    </row>
    <row r="123" spans="2:3">
      <c r="B123" s="1" t="s">
        <v>67</v>
      </c>
      <c r="C123" s="1" t="s">
        <v>63</v>
      </c>
    </row>
    <row r="142" spans="5:5">
      <c r="E142" s="1" t="s">
        <v>64</v>
      </c>
    </row>
    <row r="143" spans="5:5">
      <c r="E143" s="1" t="s">
        <v>65</v>
      </c>
    </row>
    <row r="152" spans="2:5">
      <c r="E152" s="1" t="s">
        <v>66</v>
      </c>
    </row>
    <row r="154" spans="2:5">
      <c r="B154" s="1" t="s">
        <v>83</v>
      </c>
      <c r="C154" s="1" t="s">
        <v>68</v>
      </c>
    </row>
    <row r="155" spans="2:5">
      <c r="E155" s="1" t="s">
        <v>69</v>
      </c>
    </row>
    <row r="175" spans="5:5">
      <c r="E175" s="1" t="s">
        <v>70</v>
      </c>
    </row>
    <row r="209" spans="3:5">
      <c r="E209" s="1" t="s">
        <v>71</v>
      </c>
    </row>
    <row r="217" spans="3:5" ht="21">
      <c r="E217" s="57" t="s">
        <v>72</v>
      </c>
    </row>
    <row r="219" spans="3:5">
      <c r="C219" s="1" t="s">
        <v>73</v>
      </c>
    </row>
    <row r="220" spans="3:5">
      <c r="D220" s="1" t="s">
        <v>74</v>
      </c>
    </row>
    <row r="221" spans="3:5">
      <c r="D221" s="1" t="s">
        <v>75</v>
      </c>
    </row>
    <row r="222" spans="3:5">
      <c r="D222" s="1" t="s">
        <v>85</v>
      </c>
    </row>
    <row r="225" spans="2:4">
      <c r="B225" s="1" t="s">
        <v>86</v>
      </c>
      <c r="C225" s="1" t="s">
        <v>87</v>
      </c>
    </row>
    <row r="227" spans="2:4">
      <c r="D227" s="1" t="s">
        <v>88</v>
      </c>
    </row>
    <row r="235" spans="2:4">
      <c r="D235" s="1" t="s">
        <v>89</v>
      </c>
    </row>
    <row r="260" spans="2:2">
      <c r="B260" s="1" t="s">
        <v>90</v>
      </c>
    </row>
  </sheetData>
  <phoneticPr fontId="2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CD0D17D-57A8-45DA-8DA8-EC3B5DDA2B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やり過ぎ君</vt:lpstr>
      <vt:lpstr>詳細</vt:lpstr>
      <vt:lpstr>時間帯別</vt:lpstr>
      <vt:lpstr>IDデータ</vt:lpstr>
      <vt:lpstr>原紙</vt:lpstr>
      <vt:lpstr>やり過ぎ君 使用方法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aeon</dc:creator>
  <cp:lastModifiedBy>aeon</cp:lastModifiedBy>
  <cp:lastPrinted>2020-11-14T09:00:59Z</cp:lastPrinted>
  <dcterms:created xsi:type="dcterms:W3CDTF">2020-03-05T00:22:27Z</dcterms:created>
  <dcterms:modified xsi:type="dcterms:W3CDTF">2020-11-19T10:02:52Z</dcterms:modified>
</cp:coreProperties>
</file>